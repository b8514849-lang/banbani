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전환추적_체크리스트" sheetId="2" state="visible" r:id="rId4"/>
    <sheet name="캠페인_월간" sheetId="3" state="visible" r:id="rId5"/>
    <sheet name="월간요약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<sst xmlns="http://schemas.openxmlformats.org/spreadsheetml/2006/main" count="196" uniqueCount="144">
  <si>
    <r>
      <rPr>
        <b val="true"/>
        <sz val="14"/>
        <rFont val="Arial"/>
        <family val="0"/>
        <charset val="1"/>
      </rPr>
      <t xml:space="preserve">S</t>
    </r>
    <r>
      <rPr>
        <b val="true"/>
        <sz val="14"/>
        <rFont val="WenQuanYi Zen Hei"/>
        <family val="2"/>
      </rPr>
      <t xml:space="preserve">서울병원 구글애즈 성과 관리 워크북</t>
    </r>
  </si>
  <si>
    <t xml:space="preserve">전환 추적 세팅 점검 → 월별 광고 데이터 입력 → 월간요약 자동 계산</t>
  </si>
  <si>
    <t xml:space="preserve">시트</t>
  </si>
  <si>
    <t xml:space="preserve">용도</t>
  </si>
  <si>
    <r>
      <rPr>
        <b val="true"/>
        <sz val="10"/>
        <rFont val="WenQuanYi Zen Hei"/>
        <family val="2"/>
      </rPr>
      <t xml:space="preserve">전환추적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WenQuanYi Zen Hei"/>
        <family val="2"/>
      </rPr>
      <t xml:space="preserve">체크리스트</t>
    </r>
  </si>
  <si>
    <r>
      <rPr>
        <sz val="10"/>
        <rFont val="WenQuanYi Zen Hei"/>
        <family val="2"/>
      </rPr>
      <t xml:space="preserve">구글애즈</t>
    </r>
    <r>
      <rPr>
        <sz val="10"/>
        <rFont val="Arial"/>
        <family val="0"/>
        <charset val="1"/>
      </rPr>
      <t xml:space="preserve">·GA4·</t>
    </r>
    <r>
      <rPr>
        <sz val="10"/>
        <rFont val="WenQuanYi Zen Hei"/>
        <family val="2"/>
      </rPr>
      <t xml:space="preserve">홈페이지 전환 추적 세팅 점검표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상태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미착수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진행중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완료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해당없음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선택하세요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</si>
  <si>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캠페인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WenQuanYi Zen Hei"/>
        <family val="2"/>
      </rPr>
      <t xml:space="preserve">월간</t>
    </r>
  </si>
  <si>
    <r>
      <rPr>
        <sz val="10"/>
        <rFont val="WenQuanYi Zen Hei"/>
        <family val="2"/>
      </rPr>
      <t xml:space="preserve">구글애즈 보고서의 월별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캠페인별 수치를 입력합니다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노란색 칸이 입력 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흰색 계산 칸은 수식입니다</t>
    </r>
    <r>
      <rPr>
        <sz val="10"/>
        <rFont val="Arial"/>
        <family val="0"/>
        <charset val="1"/>
      </rPr>
      <t xml:space="preserve">.</t>
    </r>
  </si>
  <si>
    <t xml:space="preserve">월간요약</t>
  </si>
  <si>
    <r>
      <rPr>
        <sz val="10"/>
        <rFont val="WenQuanYi Zen Hei"/>
        <family val="2"/>
      </rPr>
      <t xml:space="preserve">월별 합계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전환당 비용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명 확보 비용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브랜드 검색량 변화를 자동 계산합니다</t>
    </r>
    <r>
      <rPr>
        <sz val="10"/>
        <rFont val="Arial"/>
        <family val="0"/>
        <charset val="1"/>
      </rPr>
      <t xml:space="preserve">.</t>
    </r>
  </si>
  <si>
    <t xml:space="preserve">색상 규칙</t>
  </si>
  <si>
    <r>
      <rPr>
        <sz val="10"/>
        <rFont val="WenQuanYi Zen Hei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직접 입력하는 값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검정 글씨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수식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노란 배경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반드시 채울 입력 칸</t>
    </r>
  </si>
  <si>
    <t xml:space="preserve">예시 데이터</t>
  </si>
  <si>
    <r>
      <rPr>
        <sz val="10"/>
        <rFont val="Arial"/>
        <family val="0"/>
        <charset val="1"/>
      </rPr>
      <t xml:space="preserve">2026-10 </t>
    </r>
    <r>
      <rPr>
        <sz val="10"/>
        <rFont val="WenQuanYi Zen Hei"/>
        <family val="2"/>
      </rPr>
      <t xml:space="preserve">행의 숫자는 형식을 보여주는 가상의 예시값입니다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실제 데이터로 덮어쓰세요</t>
    </r>
    <r>
      <rPr>
        <sz val="10"/>
        <rFont val="Arial"/>
        <family val="0"/>
        <charset val="1"/>
      </rPr>
      <t xml:space="preserve">.</t>
    </r>
  </si>
  <si>
    <t xml:space="preserve">개인정보</t>
  </si>
  <si>
    <r>
      <rPr>
        <sz val="10"/>
        <rFont val="WenQuanYi Zen Hei"/>
        <family val="2"/>
      </rPr>
      <t xml:space="preserve">환자 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연락처는 입력하지 마세요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건수 같은 집계 수치만 입력합니다</t>
    </r>
    <r>
      <rPr>
        <sz val="10"/>
        <rFont val="Arial"/>
        <family val="0"/>
        <charset val="1"/>
      </rPr>
      <t xml:space="preserve">.</t>
    </r>
  </si>
  <si>
    <t xml:space="preserve">구글애즈 전환 추적 세팅 체크리스트</t>
  </si>
  <si>
    <r>
      <rPr>
        <i val="true"/>
        <sz val="10"/>
        <color rgb="FF595959"/>
        <rFont val="WenQuanYi Zen Hei"/>
        <family val="2"/>
      </rPr>
      <t xml:space="preserve">순서대로 점검하세요</t>
    </r>
    <r>
      <rPr>
        <i val="true"/>
        <sz val="10"/>
        <color rgb="FF595959"/>
        <rFont val="Arial"/>
        <family val="0"/>
        <charset val="1"/>
      </rPr>
      <t xml:space="preserve">. 1~3</t>
    </r>
    <r>
      <rPr>
        <i val="true"/>
        <sz val="10"/>
        <color rgb="FF595959"/>
        <rFont val="WenQuanYi Zen Hei"/>
        <family val="2"/>
      </rPr>
      <t xml:space="preserve">단계가 끝나기 전에는 광고 효과 판단을 보류하는 것이 안전합니다</t>
    </r>
    <r>
      <rPr>
        <i val="true"/>
        <sz val="10"/>
        <color rgb="FF595959"/>
        <rFont val="Arial"/>
        <family val="0"/>
        <charset val="1"/>
      </rPr>
      <t xml:space="preserve">.</t>
    </r>
  </si>
  <si>
    <t xml:space="preserve">No</t>
  </si>
  <si>
    <t xml:space="preserve">단계</t>
  </si>
  <si>
    <t xml:space="preserve">점검 항목</t>
  </si>
  <si>
    <r>
      <rPr>
        <b val="true"/>
        <sz val="10"/>
        <color rgb="FFFFFFFF"/>
        <rFont val="WenQuanYi Zen Hei"/>
        <family val="2"/>
      </rPr>
      <t xml:space="preserve">방법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확인 포인트</t>
    </r>
  </si>
  <si>
    <t xml:space="preserve">담당</t>
  </si>
  <si>
    <t xml:space="preserve">상태</t>
  </si>
  <si>
    <t xml:space="preserve">완료일</t>
  </si>
  <si>
    <t xml:space="preserve">비고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</si>
  <si>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계정 연결</t>
    </r>
  </si>
  <si>
    <r>
      <rPr>
        <sz val="10"/>
        <rFont val="WenQuanYi Zen Hei"/>
        <family val="2"/>
      </rPr>
      <t xml:space="preserve">구글애즈 ↔ </t>
    </r>
    <r>
      <rPr>
        <sz val="10"/>
        <rFont val="Arial"/>
        <family val="0"/>
        <charset val="1"/>
      </rPr>
      <t xml:space="preserve">GA4 </t>
    </r>
    <r>
      <rPr>
        <sz val="10"/>
        <rFont val="WenQuanYi Zen Hei"/>
        <family val="2"/>
      </rPr>
      <t xml:space="preserve">속성 연결</t>
    </r>
  </si>
  <si>
    <r>
      <rPr>
        <sz val="10"/>
        <rFont val="WenQuanYi Zen Hei"/>
        <family val="2"/>
      </rPr>
      <t xml:space="preserve">구글애즈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도구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연결된 계정 </t>
    </r>
    <r>
      <rPr>
        <sz val="10"/>
        <rFont val="Arial"/>
        <family val="0"/>
        <charset val="1"/>
      </rPr>
      <t xml:space="preserve">&gt; Google </t>
    </r>
    <r>
      <rPr>
        <sz val="10"/>
        <rFont val="WenQuanYi Zen Hei"/>
        <family val="2"/>
      </rPr>
      <t xml:space="preserve">애널리틱스</t>
    </r>
    <r>
      <rPr>
        <sz val="10"/>
        <rFont val="Arial"/>
        <family val="0"/>
        <charset val="1"/>
      </rPr>
      <t xml:space="preserve">(GA4). GA4 &gt; </t>
    </r>
    <r>
      <rPr>
        <sz val="10"/>
        <rFont val="WenQuanYi Zen Hei"/>
        <family val="2"/>
      </rPr>
      <t xml:space="preserve">관리 </t>
    </r>
    <r>
      <rPr>
        <sz val="10"/>
        <rFont val="Arial"/>
        <family val="0"/>
        <charset val="1"/>
      </rPr>
      <t xml:space="preserve">&gt; Google Ads </t>
    </r>
    <r>
      <rPr>
        <sz val="10"/>
        <rFont val="WenQuanYi Zen Hei"/>
        <family val="2"/>
      </rPr>
      <t xml:space="preserve">링크에서도 확인</t>
    </r>
  </si>
  <si>
    <t xml:space="preserve">미착수</t>
  </si>
  <si>
    <t xml:space="preserve">구글애즈 ↔ 유튜브 채널 연결</t>
  </si>
  <si>
    <r>
      <rPr>
        <sz val="10"/>
        <rFont val="WenQuanYi Zen Hei"/>
        <family val="2"/>
      </rPr>
      <t xml:space="preserve">도구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연결된 계정 </t>
    </r>
    <r>
      <rPr>
        <sz val="10"/>
        <rFont val="Arial"/>
        <family val="0"/>
        <charset val="1"/>
      </rPr>
      <t xml:space="preserve">&gt; YouTube. </t>
    </r>
    <r>
      <rPr>
        <sz val="10"/>
        <rFont val="WenQuanYi Zen Hei"/>
        <family val="2"/>
      </rPr>
      <t xml:space="preserve">채널 소유자 권한 필요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연결하면 조회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구독 전환과 리마케팅 목록 사용 가능</t>
    </r>
  </si>
  <si>
    <t xml:space="preserve">자동 태그 사용 설정</t>
  </si>
  <si>
    <r>
      <rPr>
        <sz val="10"/>
        <rFont val="WenQuanYi Zen Hei"/>
        <family val="2"/>
      </rPr>
      <t xml:space="preserve">구글애즈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설정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계정 설정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자동 태그 </t>
    </r>
    <r>
      <rPr>
        <sz val="10"/>
        <rFont val="Arial"/>
        <family val="0"/>
        <charset val="1"/>
      </rPr>
      <t xml:space="preserve">ON (GA4</t>
    </r>
    <r>
      <rPr>
        <sz val="10"/>
        <rFont val="WenQuanYi Zen Hei"/>
        <family val="2"/>
      </rPr>
      <t xml:space="preserve">에서 광고 유입을 구분하는 데 필수</t>
    </r>
    <r>
      <rPr>
        <sz val="10"/>
        <rFont val="Arial"/>
        <family val="0"/>
        <charset val="1"/>
      </rPr>
      <t xml:space="preserve">)</t>
    </r>
  </si>
  <si>
    <t xml:space="preserve">서치콘솔 연결</t>
  </si>
  <si>
    <r>
      <rPr>
        <sz val="10"/>
        <rFont val="Arial"/>
        <family val="0"/>
        <charset val="1"/>
      </rPr>
      <t xml:space="preserve">GA4 &gt; </t>
    </r>
    <r>
      <rPr>
        <sz val="10"/>
        <rFont val="WenQuanYi Zen Hei"/>
        <family val="2"/>
      </rPr>
      <t xml:space="preserve">관리 </t>
    </r>
    <r>
      <rPr>
        <sz val="10"/>
        <rFont val="Arial"/>
        <family val="0"/>
        <charset val="1"/>
      </rPr>
      <t xml:space="preserve">&gt; Search Console </t>
    </r>
    <r>
      <rPr>
        <sz val="10"/>
        <rFont val="WenQuanYi Zen Hei"/>
        <family val="2"/>
      </rPr>
      <t xml:space="preserve">연결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자연 검색과 브랜드 검색어 변화를 확인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</si>
  <si>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태그 설치</t>
    </r>
  </si>
  <si>
    <r>
      <rPr>
        <sz val="10"/>
        <rFont val="WenQuanYi Zen Hei"/>
        <family val="2"/>
      </rPr>
      <t xml:space="preserve">구글 태그 매니저</t>
    </r>
    <r>
      <rPr>
        <sz val="10"/>
        <rFont val="Arial"/>
        <family val="0"/>
        <charset val="1"/>
      </rPr>
      <t xml:space="preserve">(GTM) </t>
    </r>
    <r>
      <rPr>
        <sz val="10"/>
        <rFont val="WenQuanYi Zen Hei"/>
        <family val="2"/>
      </rPr>
      <t xml:space="preserve">설치</t>
    </r>
  </si>
  <si>
    <r>
      <rPr>
        <sz val="10"/>
        <rFont val="WenQuanYi Zen Hei"/>
        <family val="2"/>
      </rPr>
      <t xml:space="preserve">홈페이지 전 페이지 </t>
    </r>
    <r>
      <rPr>
        <sz val="10"/>
        <rFont val="Arial"/>
        <family val="0"/>
        <charset val="1"/>
      </rPr>
      <t xml:space="preserve">head·body</t>
    </r>
    <r>
      <rPr>
        <sz val="10"/>
        <rFont val="WenQuanYi Zen Hei"/>
        <family val="2"/>
      </rPr>
      <t xml:space="preserve">에 </t>
    </r>
    <r>
      <rPr>
        <sz val="10"/>
        <rFont val="Arial"/>
        <family val="0"/>
        <charset val="1"/>
      </rPr>
      <t xml:space="preserve">GTM </t>
    </r>
    <r>
      <rPr>
        <sz val="10"/>
        <rFont val="WenQuanYi Zen Hei"/>
        <family val="2"/>
      </rPr>
      <t xml:space="preserve">코드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제작사에 설치 요청 가능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미리보기 모드로 작동 확인</t>
    </r>
  </si>
  <si>
    <r>
      <rPr>
        <sz val="10"/>
        <rFont val="Arial"/>
        <family val="0"/>
        <charset val="1"/>
      </rPr>
      <t xml:space="preserve">GA4 </t>
    </r>
    <r>
      <rPr>
        <sz val="10"/>
        <rFont val="WenQuanYi Zen Hei"/>
        <family val="2"/>
      </rPr>
      <t xml:space="preserve">기본 태그 설치</t>
    </r>
  </si>
  <si>
    <r>
      <rPr>
        <sz val="10"/>
        <rFont val="Arial"/>
        <family val="0"/>
        <charset val="1"/>
      </rPr>
      <t xml:space="preserve">GTM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GA4 </t>
    </r>
    <r>
      <rPr>
        <sz val="10"/>
        <rFont val="WenQuanYi Zen Hei"/>
        <family val="2"/>
      </rPr>
      <t xml:space="preserve">구성 태그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트리거는 모든 페이지</t>
    </r>
  </si>
  <si>
    <r>
      <rPr>
        <sz val="10"/>
        <rFont val="WenQuanYi Zen Hei"/>
        <family val="2"/>
      </rPr>
      <t xml:space="preserve">구글애즈 전환 링커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리마케팅 태그</t>
    </r>
  </si>
  <si>
    <r>
      <rPr>
        <sz val="10"/>
        <rFont val="Arial"/>
        <family val="0"/>
        <charset val="1"/>
      </rPr>
      <t xml:space="preserve">GTM</t>
    </r>
    <r>
      <rPr>
        <sz val="10"/>
        <rFont val="WenQuanYi Zen Hei"/>
        <family val="2"/>
      </rPr>
      <t xml:space="preserve">에서 전환 링커 태그를 모든 페이지에 적용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</si>
  <si>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전환 이벤트</t>
    </r>
  </si>
  <si>
    <t xml:space="preserve">전화번호 클릭 이벤트</t>
  </si>
  <si>
    <r>
      <rPr>
        <sz val="10"/>
        <rFont val="WenQuanYi Zen Hei"/>
        <family val="2"/>
      </rPr>
      <t xml:space="preserve">모바일 홈페이지의 </t>
    </r>
    <r>
      <rPr>
        <sz val="10"/>
        <rFont val="Arial"/>
        <family val="0"/>
        <charset val="1"/>
      </rPr>
      <t xml:space="preserve">tel: </t>
    </r>
    <r>
      <rPr>
        <sz val="10"/>
        <rFont val="WenQuanYi Zen Hei"/>
        <family val="2"/>
      </rPr>
      <t xml:space="preserve">링크 클릭을 </t>
    </r>
    <r>
      <rPr>
        <sz val="10"/>
        <rFont val="Arial"/>
        <family val="0"/>
        <charset val="1"/>
      </rPr>
      <t xml:space="preserve">GTM </t>
    </r>
    <r>
      <rPr>
        <sz val="10"/>
        <rFont val="WenQuanYi Zen Hei"/>
        <family val="2"/>
      </rPr>
      <t xml:space="preserve">트리거로 설정 → </t>
    </r>
    <r>
      <rPr>
        <sz val="10"/>
        <rFont val="Arial"/>
        <family val="0"/>
        <charset val="1"/>
      </rPr>
      <t xml:space="preserve">GA4 </t>
    </r>
    <r>
      <rPr>
        <sz val="10"/>
        <rFont val="WenQuanYi Zen Hei"/>
        <family val="2"/>
      </rPr>
      <t xml:space="preserve">이벤트 → 구글애즈 전환으로 가져오기</t>
    </r>
  </si>
  <si>
    <r>
      <rPr>
        <sz val="10"/>
        <rFont val="WenQuanYi Zen Hei"/>
        <family val="2"/>
      </rPr>
      <t xml:space="preserve">온라인 예약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상담 신청 완료 이벤트</t>
    </r>
  </si>
  <si>
    <r>
      <rPr>
        <sz val="10"/>
        <rFont val="WenQuanYi Zen Hei"/>
        <family val="2"/>
      </rPr>
      <t xml:space="preserve">신청 폼 제출 완료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감사 페이지 </t>
    </r>
    <r>
      <rPr>
        <sz val="10"/>
        <rFont val="Arial"/>
        <family val="0"/>
        <charset val="1"/>
      </rPr>
      <t xml:space="preserve">URL </t>
    </r>
    <r>
      <rPr>
        <sz val="10"/>
        <rFont val="WenQuanYi Zen Hei"/>
        <family val="2"/>
      </rPr>
      <t xml:space="preserve">또는 폼 제출 트리거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버튼 클릭이 아닌 완료 시점으로 설정</t>
    </r>
  </si>
  <si>
    <r>
      <rPr>
        <sz val="10"/>
        <rFont val="WenQuanYi Zen Hei"/>
        <family val="2"/>
      </rPr>
      <t xml:space="preserve">카카오톡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네이버 예약 버튼 클릭 이벤트</t>
    </r>
  </si>
  <si>
    <r>
      <rPr>
        <sz val="10"/>
        <rFont val="WenQuanYi Zen Hei"/>
        <family val="2"/>
      </rPr>
      <t xml:space="preserve">외부 링크 클릭 트리거로 설정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실제 예약 완료가 아니므로 보조 전환으로 분류</t>
    </r>
  </si>
  <si>
    <r>
      <rPr>
        <sz val="10"/>
        <rFont val="WenQuanYi Zen Hei"/>
        <family val="2"/>
      </rPr>
      <t xml:space="preserve">오시는 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지도 클릭 이벤트</t>
    </r>
  </si>
  <si>
    <r>
      <rPr>
        <sz val="10"/>
        <rFont val="WenQuanYi Zen Hei"/>
        <family val="2"/>
      </rPr>
      <t xml:space="preserve">보조 전환으로 설정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전환 수치에 포함할지 여부를 정해 두기</t>
    </r>
  </si>
  <si>
    <r>
      <rPr>
        <sz val="10"/>
        <rFont val="WenQuanYi Zen Hei"/>
        <family val="2"/>
      </rPr>
      <t xml:space="preserve">광고 전화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통화 광고확장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전환</t>
    </r>
  </si>
  <si>
    <r>
      <rPr>
        <sz val="10"/>
        <rFont val="WenQuanYi Zen Hei"/>
        <family val="2"/>
      </rPr>
      <t xml:space="preserve">검색 광고에 전화번호 확장 추가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통화 시간 기준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30</t>
    </r>
    <r>
      <rPr>
        <sz val="10"/>
        <rFont val="WenQuanYi Zen Hei"/>
        <family val="2"/>
      </rPr>
      <t xml:space="preserve">초 이상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전환으로 설정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</si>
  <si>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전환 설정 정리</t>
    </r>
  </si>
  <si>
    <r>
      <rPr>
        <sz val="10"/>
        <rFont val="WenQuanYi Zen Hei"/>
        <family val="2"/>
      </rPr>
      <t xml:space="preserve">주요 전환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보조 전환 구분</t>
    </r>
  </si>
  <si>
    <r>
      <rPr>
        <sz val="10"/>
        <rFont val="WenQuanYi Zen Hei"/>
        <family val="2"/>
      </rPr>
      <t xml:space="preserve">구글애즈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목표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요약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예약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전화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주요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입찰 최적화용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지도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버튼 클릭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보조</t>
    </r>
  </si>
  <si>
    <t xml:space="preserve">전환 중복 집계 방지</t>
  </si>
  <si>
    <r>
      <rPr>
        <sz val="10"/>
        <rFont val="WenQuanYi Zen Hei"/>
        <family val="2"/>
      </rPr>
      <t xml:space="preserve">같은 예약이 </t>
    </r>
    <r>
      <rPr>
        <sz val="10"/>
        <rFont val="Arial"/>
        <family val="0"/>
        <charset val="1"/>
      </rPr>
      <t xml:space="preserve">GA4</t>
    </r>
    <r>
      <rPr>
        <sz val="10"/>
        <rFont val="WenQuanYi Zen Hei"/>
        <family val="2"/>
      </rPr>
      <t xml:space="preserve">와 구글애즈 태그에서 이중으로 잡히지 않는지 확인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집계 방식은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한 번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으로 설정</t>
    </r>
  </si>
  <si>
    <r>
      <rPr>
        <sz val="10"/>
        <rFont val="WenQuanYi Zen Hei"/>
        <family val="2"/>
      </rPr>
      <t xml:space="preserve">전환 기간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조회 후 전환 포함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설정</t>
    </r>
  </si>
  <si>
    <r>
      <rPr>
        <sz val="10"/>
        <rFont val="WenQuanYi Zen Hei"/>
        <family val="2"/>
      </rPr>
      <t xml:space="preserve">클릭 후 </t>
    </r>
    <r>
      <rPr>
        <sz val="10"/>
        <rFont val="Arial"/>
        <family val="0"/>
        <charset val="1"/>
      </rPr>
      <t xml:space="preserve">30~90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병원은 결정 기간이 길어 기본값 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일보다 길게 보는 것을 권장</t>
    </r>
  </si>
  <si>
    <r>
      <rPr>
        <sz val="10"/>
        <rFont val="WenQuanYi Zen Hei"/>
        <family val="2"/>
      </rPr>
      <t xml:space="preserve">전환 상태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기록 중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확인</t>
    </r>
  </si>
  <si>
    <r>
      <rPr>
        <sz val="10"/>
        <rFont val="WenQuanYi Zen Hei"/>
        <family val="2"/>
      </rPr>
      <t xml:space="preserve">목표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전환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상태 열이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기록 중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인지 확인</t>
    </r>
    <r>
      <rPr>
        <sz val="10"/>
        <rFont val="Arial"/>
        <family val="0"/>
        <charset val="1"/>
      </rPr>
      <t xml:space="preserve">. "</t>
    </r>
    <r>
      <rPr>
        <sz val="10"/>
        <rFont val="WenQuanYi Zen Hei"/>
        <family val="2"/>
      </rPr>
      <t xml:space="preserve">비활성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이나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태그 문제 있음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이면 수정</t>
    </r>
  </si>
  <si>
    <r>
      <rPr>
        <sz val="10"/>
        <rFont val="Arial"/>
        <family val="0"/>
        <charset val="1"/>
      </rPr>
      <t xml:space="preserve">5. </t>
    </r>
    <r>
      <rPr>
        <sz val="10"/>
        <rFont val="WenQuanYi Zen Hei"/>
        <family val="2"/>
      </rPr>
      <t xml:space="preserve">테스트</t>
    </r>
  </si>
  <si>
    <t xml:space="preserve">실제 전환 테스트</t>
  </si>
  <si>
    <r>
      <rPr>
        <sz val="10"/>
        <rFont val="WenQuanYi Zen Hei"/>
        <family val="2"/>
      </rPr>
      <t xml:space="preserve">광고 </t>
    </r>
    <r>
      <rPr>
        <sz val="10"/>
        <rFont val="Arial"/>
        <family val="0"/>
        <charset val="1"/>
      </rPr>
      <t xml:space="preserve">URL </t>
    </r>
    <r>
      <rPr>
        <sz val="10"/>
        <rFont val="WenQuanYi Zen Hei"/>
        <family val="2"/>
      </rPr>
      <t xml:space="preserve">또는 홈페이지에서 직접 예약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전화 클릭 후 </t>
    </r>
    <r>
      <rPr>
        <sz val="10"/>
        <rFont val="Arial"/>
        <family val="0"/>
        <charset val="1"/>
      </rPr>
      <t xml:space="preserve">GA4 </t>
    </r>
    <r>
      <rPr>
        <sz val="10"/>
        <rFont val="WenQuanYi Zen Hei"/>
        <family val="2"/>
      </rPr>
      <t xml:space="preserve">실시간 보고서와 구글애즈에서 반영되는지 확인</t>
    </r>
    <r>
      <rPr>
        <sz val="10"/>
        <rFont val="Arial"/>
        <family val="0"/>
        <charset val="1"/>
      </rPr>
      <t xml:space="preserve">(24~48</t>
    </r>
    <r>
      <rPr>
        <sz val="10"/>
        <rFont val="WenQuanYi Zen Hei"/>
        <family val="2"/>
      </rPr>
      <t xml:space="preserve">시간 소요 가능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</si>
  <si>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캠페인별 </t>
    </r>
    <r>
      <rPr>
        <sz val="10"/>
        <rFont val="Arial"/>
        <family val="0"/>
        <charset val="1"/>
      </rPr>
      <t xml:space="preserve">UTM·</t>
    </r>
    <r>
      <rPr>
        <sz val="10"/>
        <rFont val="WenQuanYi Zen Hei"/>
        <family val="2"/>
      </rPr>
      <t xml:space="preserve">최종 </t>
    </r>
    <r>
      <rPr>
        <sz val="10"/>
        <rFont val="Arial"/>
        <family val="0"/>
        <charset val="1"/>
      </rPr>
      <t xml:space="preserve">URL </t>
    </r>
    <r>
      <rPr>
        <sz val="10"/>
        <rFont val="WenQuanYi Zen Hei"/>
        <family val="2"/>
      </rPr>
      <t xml:space="preserve">점검</t>
    </r>
  </si>
  <si>
    <r>
      <rPr>
        <sz val="10"/>
        <rFont val="WenQuanYi Zen Hei"/>
        <family val="2"/>
      </rPr>
      <t xml:space="preserve">유튜브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검색 캠페인의 최종 </t>
    </r>
    <r>
      <rPr>
        <sz val="10"/>
        <rFont val="Arial"/>
        <family val="0"/>
        <charset val="1"/>
      </rPr>
      <t xml:space="preserve">URL</t>
    </r>
    <r>
      <rPr>
        <sz val="10"/>
        <rFont val="WenQuanYi Zen Hei"/>
        <family val="2"/>
      </rPr>
      <t xml:space="preserve">이 의도한 페이지인지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모바일에서 예약 버튼이 쉽게 보이는지 확인</t>
    </r>
  </si>
  <si>
    <r>
      <rPr>
        <sz val="10"/>
        <rFont val="Arial"/>
        <family val="0"/>
        <charset val="1"/>
      </rPr>
      <t xml:space="preserve">6. </t>
    </r>
    <r>
      <rPr>
        <sz val="10"/>
        <rFont val="WenQuanYi Zen Hei"/>
        <family val="2"/>
      </rPr>
      <t xml:space="preserve">타게팅 점검</t>
    </r>
  </si>
  <si>
    <t xml:space="preserve">지역 타게팅 확인</t>
  </si>
  <si>
    <r>
      <rPr>
        <sz val="10"/>
        <rFont val="WenQuanYi Zen Hei"/>
        <family val="2"/>
      </rPr>
      <t xml:space="preserve">병원 반경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주요 생활권 위주로 설정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위치 옵션은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대상 지역에 있는 사용자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로 선택</t>
    </r>
  </si>
  <si>
    <r>
      <rPr>
        <sz val="10"/>
        <rFont val="WenQuanYi Zen Hei"/>
        <family val="2"/>
      </rPr>
      <t xml:space="preserve">연령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보호자 타겟 확인</t>
    </r>
  </si>
  <si>
    <r>
      <rPr>
        <sz val="10"/>
        <rFont val="WenQuanYi Zen Hei"/>
        <family val="2"/>
      </rPr>
      <t xml:space="preserve">척추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관절은 본인 </t>
    </r>
    <r>
      <rPr>
        <sz val="10"/>
        <rFont val="Arial"/>
        <family val="0"/>
        <charset val="1"/>
      </rPr>
      <t xml:space="preserve">40~70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치매는 보호자 </t>
    </r>
    <r>
      <rPr>
        <sz val="10"/>
        <rFont val="Arial"/>
        <family val="0"/>
        <charset val="1"/>
      </rPr>
      <t xml:space="preserve">40~60</t>
    </r>
    <r>
      <rPr>
        <sz val="10"/>
        <rFont val="WenQuanYi Zen Hei"/>
        <family val="2"/>
      </rPr>
      <t xml:space="preserve">대 기준으로 연령 설정 점검</t>
    </r>
  </si>
  <si>
    <r>
      <rPr>
        <sz val="10"/>
        <rFont val="WenQuanYi Zen Hei"/>
        <family val="2"/>
      </rPr>
      <t xml:space="preserve">검색어 보고서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제외 키워드</t>
    </r>
  </si>
  <si>
    <r>
      <rPr>
        <sz val="10"/>
        <rFont val="WenQuanYi Zen Hei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검색어 보고서를 확인하고 무관한 검색어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구인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병원 후기 외 무관 키워드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제외 키워드로 등록</t>
    </r>
  </si>
  <si>
    <t xml:space="preserve">유튜브 제외 게재위치</t>
  </si>
  <si>
    <r>
      <rPr>
        <sz val="10"/>
        <rFont val="WenQuanYi Zen Hei"/>
        <family val="2"/>
      </rPr>
      <t xml:space="preserve">어린이 콘텐츠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무관 채널 등 제외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게재위치 보고서로 비용이 새는 곳 확인</t>
    </r>
  </si>
  <si>
    <r>
      <rPr>
        <sz val="10"/>
        <rFont val="Arial"/>
        <family val="0"/>
        <charset val="1"/>
      </rPr>
      <t xml:space="preserve">7. </t>
    </r>
    <r>
      <rPr>
        <sz val="10"/>
        <rFont val="WenQuanYi Zen Hei"/>
        <family val="2"/>
      </rPr>
      <t xml:space="preserve">병원 내부 기록</t>
    </r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</si>
  <si>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어떻게 알고 오셨나요</t>
    </r>
    <r>
      <rPr>
        <sz val="10"/>
        <rFont val="Arial"/>
        <family val="0"/>
        <charset val="1"/>
      </rPr>
      <t xml:space="preserve">?" </t>
    </r>
    <r>
      <rPr>
        <sz val="10"/>
        <rFont val="WenQuanYi Zen Hei"/>
        <family val="2"/>
      </rPr>
      <t xml:space="preserve">문진 항목 추가</t>
    </r>
  </si>
  <si>
    <r>
      <rPr>
        <sz val="10"/>
        <rFont val="WenQuanYi Zen Hei"/>
        <family val="2"/>
      </rPr>
      <t xml:space="preserve">접수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초진 시 유입경로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유튜브 광고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구글 검색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지인소개 등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기록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광고 플랫폼이 알 수 없는 실제 내원 확인용</t>
    </r>
  </si>
  <si>
    <t xml:space="preserve">예약 시스템에 유입경로 필드 추가</t>
  </si>
  <si>
    <r>
      <rPr>
        <sz val="10"/>
        <rFont val="WenQuanYi Zen Hei"/>
        <family val="2"/>
      </rPr>
      <t xml:space="preserve">전화 예약은 상담 직원이 유입경로를 기록하도록 안내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개인정보 제외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건수만 월 집계</t>
    </r>
    <r>
      <rPr>
        <sz val="10"/>
        <rFont val="Arial"/>
        <family val="0"/>
        <charset val="1"/>
      </rPr>
      <t xml:space="preserve">)</t>
    </r>
  </si>
  <si>
    <t xml:space="preserve">월간 신환 수 집계 담당자 지정</t>
  </si>
  <si>
    <t xml:space="preserve">매월 초 전월 신환 수와 광고 유입 신환 수를 월간요약 시트에 입력하는 담당자 지정</t>
  </si>
  <si>
    <r>
      <rPr>
        <sz val="10"/>
        <rFont val="Arial"/>
        <family val="0"/>
        <charset val="1"/>
      </rPr>
      <t xml:space="preserve">8. </t>
    </r>
    <r>
      <rPr>
        <sz val="10"/>
        <rFont val="WenQuanYi Zen Hei"/>
        <family val="2"/>
      </rPr>
      <t xml:space="preserve">의료광고 규정</t>
    </r>
  </si>
  <si>
    <r>
      <rPr>
        <sz val="10"/>
        <rFont val="WenQuanYi Zen Hei"/>
        <family val="2"/>
      </rPr>
      <t xml:space="preserve">의료광고 심의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표현 점검</t>
    </r>
  </si>
  <si>
    <r>
      <rPr>
        <sz val="10"/>
        <rFont val="WenQuanYi Zen Hei"/>
        <family val="2"/>
      </rPr>
      <t xml:space="preserve">광고 문구와 영상이 의료법상 의료광고 규정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치료 경험담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과장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비교 표현 금지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맞는지 확인하고 필요한 심의를 거치세요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세부 사항은 대한의사협회 등 심의기관의 최신 기준을 확인하세요</t>
    </r>
  </si>
  <si>
    <t xml:space="preserve">진행률</t>
  </si>
  <si>
    <r>
      <rPr>
        <i val="true"/>
        <sz val="10"/>
        <color rgb="FF595959"/>
        <rFont val="WenQuanYi Zen Hei"/>
        <family val="2"/>
      </rPr>
      <t xml:space="preserve">※ 구글애즈 화면 명칭은 업데이트로 바뀔 수 있습니다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WenQuanYi Zen Hei"/>
        <family val="2"/>
      </rPr>
      <t xml:space="preserve">실제 메뉴와 다르면 구글애즈 도움말을 확인하세요</t>
    </r>
    <r>
      <rPr>
        <i val="true"/>
        <sz val="10"/>
        <color rgb="FF595959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</si>
  <si>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월별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캠페인별 광고 성과 입력</t>
    </r>
  </si>
  <si>
    <r>
      <rPr>
        <i val="true"/>
        <sz val="10"/>
        <color rgb="FF595959"/>
        <rFont val="WenQuanYi Zen Hei"/>
        <family val="2"/>
      </rPr>
      <t xml:space="preserve">구글애즈 </t>
    </r>
    <r>
      <rPr>
        <i val="true"/>
        <sz val="10"/>
        <color rgb="FF595959"/>
        <rFont val="Arial"/>
        <family val="0"/>
        <charset val="1"/>
      </rPr>
      <t xml:space="preserve">&gt; </t>
    </r>
    <r>
      <rPr>
        <i val="true"/>
        <sz val="10"/>
        <color rgb="FF595959"/>
        <rFont val="WenQuanYi Zen Hei"/>
        <family val="2"/>
      </rPr>
      <t xml:space="preserve">보고서에서 월 단위로 캠페인별 수치를 입력하세요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WenQuanYi Zen Hei"/>
        <family val="2"/>
      </rPr>
      <t xml:space="preserve">노란 칸이 입력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WenQuanYi Zen Hei"/>
        <family val="2"/>
      </rPr>
      <t xml:space="preserve">나머지는 자동 계산입니다</t>
    </r>
    <r>
      <rPr>
        <i val="true"/>
        <sz val="10"/>
        <color rgb="FF595959"/>
        <rFont val="Arial"/>
        <family val="0"/>
        <charset val="1"/>
      </rPr>
      <t xml:space="preserve">. (2026-10 </t>
    </r>
    <r>
      <rPr>
        <i val="true"/>
        <sz val="10"/>
        <color rgb="FF595959"/>
        <rFont val="WenQuanYi Zen Hei"/>
        <family val="2"/>
      </rPr>
      <t xml:space="preserve">행은 가상의 예시</t>
    </r>
    <r>
      <rPr>
        <i val="true"/>
        <sz val="10"/>
        <color rgb="FF595959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</si>
  <si>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월
</t>
    </r>
    <r>
      <rPr>
        <b val="true"/>
        <sz val="10"/>
        <color rgb="FFFFFFFF"/>
        <rFont val="Arial"/>
        <family val="0"/>
        <charset val="1"/>
      </rPr>
      <t xml:space="preserve">(YYYY-MM)</t>
    </r>
  </si>
  <si>
    <t xml:space="preserve">광고 유형</t>
  </si>
  <si>
    <t xml:space="preserve">캠페인명</t>
  </si>
  <si>
    <r>
      <rPr>
        <b val="true"/>
        <sz val="10"/>
        <color rgb="FFFFFFFF"/>
        <rFont val="WenQuanYi Zen Hei"/>
        <family val="2"/>
      </rPr>
      <t xml:space="preserve">광고비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</si>
  <si>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노출수</t>
  </si>
  <si>
    <t xml:space="preserve">클릭수</t>
  </si>
  <si>
    <t xml:space="preserve">동영상 조회수</t>
  </si>
  <si>
    <r>
      <rPr>
        <b val="true"/>
        <sz val="10"/>
        <color rgb="FFFFFFFF"/>
        <rFont val="WenQuanYi Zen Hei"/>
        <family val="2"/>
      </rPr>
      <t xml:space="preserve">전환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전화</t>
    </r>
  </si>
  <si>
    <r>
      <rPr>
        <b val="true"/>
        <sz val="10"/>
        <color rgb="FFFFFFFF"/>
        <rFont val="WenQuanYi Zen Hei"/>
        <family val="2"/>
      </rPr>
      <t xml:space="preserve">전환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예약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상담신청</t>
    </r>
  </si>
  <si>
    <r>
      <rPr>
        <b val="true"/>
        <sz val="10"/>
        <color rgb="FFFFFFFF"/>
        <rFont val="WenQuanYi Zen Hei"/>
        <family val="2"/>
      </rPr>
      <t xml:space="preserve">전환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보조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카톡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지도 등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</si>
  <si>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전환 합계</t>
  </si>
  <si>
    <r>
      <rPr>
        <b val="true"/>
        <sz val="10"/>
        <color rgb="FFFFFFFF"/>
        <rFont val="WenQuanYi Zen Hei"/>
        <family val="2"/>
      </rPr>
      <t xml:space="preserve">클릭률</t>
    </r>
    <r>
      <rPr>
        <b val="true"/>
        <sz val="10"/>
        <color rgb="FFFFFFFF"/>
        <rFont val="Arial"/>
        <family val="0"/>
        <charset val="1"/>
      </rPr>
      <t xml:space="preserve">(CTR)</t>
    </r>
  </si>
  <si>
    <r>
      <rPr>
        <b val="true"/>
        <sz val="10"/>
        <color rgb="FFFFFFFF"/>
        <rFont val="WenQuanYi Zen Hei"/>
        <family val="2"/>
      </rPr>
      <t xml:space="preserve">클릭당 비용</t>
    </r>
    <r>
      <rPr>
        <b val="true"/>
        <sz val="10"/>
        <color rgb="FFFFFFFF"/>
        <rFont val="Arial"/>
        <family val="0"/>
        <charset val="1"/>
      </rPr>
      <t xml:space="preserve">(CPC)</t>
    </r>
  </si>
  <si>
    <r>
      <rPr>
        <b val="true"/>
        <sz val="10"/>
        <color rgb="FFFFFFFF"/>
        <rFont val="WenQuanYi Zen Hei"/>
        <family val="2"/>
      </rPr>
      <t xml:space="preserve">조회율</t>
    </r>
    <r>
      <rPr>
        <b val="true"/>
        <sz val="10"/>
        <color rgb="FFFFFFFF"/>
        <rFont val="Arial"/>
        <family val="0"/>
        <charset val="1"/>
      </rPr>
      <t xml:space="preserve">(VTR)</t>
    </r>
  </si>
  <si>
    <r>
      <rPr>
        <b val="true"/>
        <sz val="10"/>
        <color rgb="FFFFFFFF"/>
        <rFont val="WenQuanYi Zen Hei"/>
        <family val="2"/>
      </rPr>
      <t xml:space="preserve">조회당 비용</t>
    </r>
    <r>
      <rPr>
        <b val="true"/>
        <sz val="10"/>
        <color rgb="FFFFFFFF"/>
        <rFont val="Arial"/>
        <family val="0"/>
        <charset val="1"/>
      </rPr>
      <t xml:space="preserve">(CPV)</t>
    </r>
  </si>
  <si>
    <r>
      <rPr>
        <b val="true"/>
        <sz val="10"/>
        <color rgb="FFFFFFFF"/>
        <rFont val="WenQuanYi Zen Hei"/>
        <family val="2"/>
      </rPr>
      <t xml:space="preserve">전환당 비용</t>
    </r>
    <r>
      <rPr>
        <b val="true"/>
        <sz val="10"/>
        <color rgb="FFFFFFFF"/>
        <rFont val="Arial"/>
        <family val="0"/>
        <charset val="1"/>
      </rPr>
      <t xml:space="preserve">(CPA)</t>
    </r>
  </si>
  <si>
    <t xml:space="preserve">2026-10</t>
  </si>
  <si>
    <t xml:space="preserve">검색광고</t>
  </si>
  <si>
    <t xml:space="preserve">척추 통증 지역키워드</t>
  </si>
  <si>
    <t xml:space="preserve">예시</t>
  </si>
  <si>
    <t xml:space="preserve">유튜브 인스트림</t>
  </si>
  <si>
    <t xml:space="preserve">치매 보호자 정보영상</t>
  </si>
  <si>
    <r>
      <rPr>
        <sz val="10"/>
        <color rgb="FF0000FF"/>
        <rFont val="WenQuanYi Zen Hei"/>
        <family val="2"/>
      </rPr>
      <t xml:space="preserve">유튜브 알고리즘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디맨드젠</t>
    </r>
    <r>
      <rPr>
        <sz val="10"/>
        <color rgb="FF0000FF"/>
        <rFont val="Arial"/>
        <family val="0"/>
        <charset val="1"/>
      </rPr>
      <t xml:space="preserve">)</t>
    </r>
  </si>
  <si>
    <t xml:space="preserve">관절 클리닉 소개</t>
  </si>
  <si>
    <r>
      <rPr>
        <i val="true"/>
        <sz val="10"/>
        <color rgb="FF595959"/>
        <rFont val="WenQuanYi Zen Hei"/>
        <family val="2"/>
      </rPr>
      <t xml:space="preserve">※ 예시 행은 형식 안내용 가상 수치입니다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WenQuanYi Zen Hei"/>
        <family val="2"/>
      </rPr>
      <t xml:space="preserve">검색광고는 동영상 조회수를 비워 두세요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WenQuanYi Zen Hei"/>
        <family val="2"/>
      </rPr>
      <t xml:space="preserve">시트 하단에 행을 추가하려면 마지막 행을 복사해 붙여넣으세요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수식 범위는 </t>
    </r>
    <r>
      <rPr>
        <i val="true"/>
        <sz val="10"/>
        <color rgb="FF595959"/>
        <rFont val="Arial"/>
        <family val="0"/>
        <charset val="1"/>
      </rPr>
      <t xml:space="preserve">5~64</t>
    </r>
    <r>
      <rPr>
        <i val="true"/>
        <sz val="10"/>
        <color rgb="FF595959"/>
        <rFont val="WenQuanYi Zen Hei"/>
        <family val="2"/>
      </rPr>
      <t xml:space="preserve">행</t>
    </r>
    <r>
      <rPr>
        <i val="true"/>
        <sz val="10"/>
        <color rgb="FF595959"/>
        <rFont val="Arial"/>
        <family val="0"/>
        <charset val="1"/>
      </rPr>
      <t xml:space="preserve">).</t>
    </r>
  </si>
  <si>
    <t xml:space="preserve">월간 광고 성과 요약</t>
  </si>
  <si>
    <r>
      <rPr>
        <i val="true"/>
        <sz val="10"/>
        <color rgb="FF595959"/>
        <rFont val="WenQuanYi Zen Hei"/>
        <family val="2"/>
      </rPr>
      <t xml:space="preserve">캠페인</t>
    </r>
    <r>
      <rPr>
        <i val="true"/>
        <sz val="10"/>
        <color rgb="FF595959"/>
        <rFont val="Arial"/>
        <family val="0"/>
        <charset val="1"/>
      </rPr>
      <t xml:space="preserve">_</t>
    </r>
    <r>
      <rPr>
        <i val="true"/>
        <sz val="10"/>
        <color rgb="FF595959"/>
        <rFont val="WenQuanYi Zen Hei"/>
        <family val="2"/>
      </rPr>
      <t xml:space="preserve">월간 시트의 합계는 자동 계산됩니다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WenQuanYi Zen Hei"/>
        <family val="2"/>
      </rPr>
      <t xml:space="preserve">노란 칸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신환 수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WenQuanYi Zen Hei"/>
        <family val="2"/>
      </rPr>
      <t xml:space="preserve">브랜드 검색량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WenQuanYi Zen Hei"/>
        <family val="2"/>
      </rPr>
      <t xml:space="preserve">구독자 증가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은 병원에서 직접 입력하세요</t>
    </r>
    <r>
      <rPr>
        <i val="true"/>
        <sz val="10"/>
        <color rgb="FF595959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</si>
  <si>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신환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명당 평균 수익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</si>
  <si>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10"/>
        <color rgb="FFC00000"/>
        <rFont val="WenQuanYi Zen Hei"/>
        <family val="2"/>
      </rPr>
      <t xml:space="preserve">← 가정값</t>
    </r>
    <r>
      <rPr>
        <i val="true"/>
        <sz val="10"/>
        <color rgb="FFC00000"/>
        <rFont val="Arial"/>
        <family val="0"/>
        <charset val="1"/>
      </rPr>
      <t xml:space="preserve">(</t>
    </r>
    <r>
      <rPr>
        <i val="true"/>
        <sz val="10"/>
        <color rgb="FFC00000"/>
        <rFont val="WenQuanYi Zen Hei"/>
        <family val="2"/>
      </rPr>
      <t xml:space="preserve">예시</t>
    </r>
    <r>
      <rPr>
        <i val="true"/>
        <sz val="10"/>
        <color rgb="FFC00000"/>
        <rFont val="Arial"/>
        <family val="0"/>
        <charset val="1"/>
      </rPr>
      <t xml:space="preserve">). </t>
    </r>
    <r>
      <rPr>
        <i val="true"/>
        <sz val="10"/>
        <color rgb="FFC00000"/>
        <rFont val="WenQuanYi Zen Hei"/>
        <family val="2"/>
      </rPr>
      <t xml:space="preserve">병원 실제 신환 </t>
    </r>
    <r>
      <rPr>
        <i val="true"/>
        <sz val="10"/>
        <color rgb="FFC00000"/>
        <rFont val="Arial"/>
        <family val="0"/>
        <charset val="1"/>
      </rPr>
      <t xml:space="preserve">1</t>
    </r>
    <r>
      <rPr>
        <i val="true"/>
        <sz val="10"/>
        <color rgb="FFC00000"/>
        <rFont val="WenQuanYi Zen Hei"/>
        <family val="2"/>
      </rPr>
      <t xml:space="preserve">명당 평균 진료수익으로 교체하세요</t>
    </r>
    <r>
      <rPr>
        <i val="true"/>
        <sz val="10"/>
        <color rgb="FFC00000"/>
        <rFont val="Arial"/>
        <family val="0"/>
        <charset val="1"/>
      </rPr>
      <t xml:space="preserve">. </t>
    </r>
    <r>
      <rPr>
        <i val="true"/>
        <sz val="10"/>
        <color rgb="FFC00000"/>
        <rFont val="WenQuanYi Zen Hei"/>
        <family val="2"/>
      </rPr>
      <t xml:space="preserve">계산 방식은 원무팀 기준을 따르세요</t>
    </r>
    <r>
      <rPr>
        <i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</si>
  <si>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총 광고비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</si>
  <si>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검색광고비</t>
  </si>
  <si>
    <t xml:space="preserve">유튜브 광고비</t>
  </si>
  <si>
    <t xml:space="preserve">총 클릭수</t>
  </si>
  <si>
    <t xml:space="preserve">총 조회수</t>
  </si>
  <si>
    <r>
      <rPr>
        <b val="true"/>
        <sz val="10"/>
        <color rgb="FFFFFFFF"/>
        <rFont val="WenQuanYi Zen Hei"/>
        <family val="2"/>
      </rPr>
      <t xml:space="preserve">광고 유입 신환 수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문진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예약 기록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</si>
  <si>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신환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명 확보 비용</t>
    </r>
  </si>
  <si>
    <r>
      <rPr>
        <b val="true"/>
        <sz val="10"/>
        <color rgb="FFFFFFFF"/>
        <rFont val="WenQuanYi Zen Hei"/>
        <family val="2"/>
      </rPr>
      <t xml:space="preserve">예상 신환 수익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</si>
  <si>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광고수익률</t>
    </r>
    <r>
      <rPr>
        <b val="true"/>
        <sz val="10"/>
        <color rgb="FFFFFFFF"/>
        <rFont val="Arial"/>
        <family val="0"/>
        <charset val="1"/>
      </rPr>
      <t xml:space="preserve">(ROAS)</t>
    </r>
  </si>
  <si>
    <r>
      <rPr>
        <b val="true"/>
        <sz val="10"/>
        <color rgb="FFFFFFFF"/>
        <rFont val="WenQuanYi Zen Hei"/>
        <family val="2"/>
      </rPr>
      <t xml:space="preserve">브랜드 검색량
</t>
    </r>
    <r>
      <rPr>
        <b val="true"/>
        <sz val="10"/>
        <color rgb="FFFFFFFF"/>
        <rFont val="Arial"/>
        <family val="0"/>
        <charset val="1"/>
      </rPr>
      <t xml:space="preserve">("S</t>
    </r>
    <r>
      <rPr>
        <b val="true"/>
        <sz val="10"/>
        <color rgb="FFFFFFFF"/>
        <rFont val="WenQuanYi Zen Hei"/>
        <family val="2"/>
      </rPr>
      <t xml:space="preserve">서울병원</t>
    </r>
    <r>
      <rPr>
        <b val="true"/>
        <sz val="10"/>
        <color rgb="FFFFFFFF"/>
        <rFont val="Arial"/>
        <family val="0"/>
        <charset val="1"/>
      </rPr>
      <t xml:space="preserve">" </t>
    </r>
    <r>
      <rPr>
        <b val="true"/>
        <sz val="10"/>
        <color rgb="FFFFFFFF"/>
        <rFont val="WenQuanYi Zen Hei"/>
        <family val="2"/>
      </rPr>
      <t xml:space="preserve">월 검색 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</si>
  <si>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브랜드 검색 전월 대비</t>
  </si>
  <si>
    <t xml:space="preserve">채널 구독자 증가 수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</si>
  <si>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</si>
  <si>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</si>
  <si>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</si>
  <si>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</si>
  <si>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</si>
  <si>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합계</t>
  </si>
  <si>
    <t xml:space="preserve">해석 가이드</t>
  </si>
  <si>
    <r>
      <rPr>
        <sz val="10"/>
        <rFont val="WenQuanYi Zen Hei"/>
        <family val="2"/>
      </rPr>
      <t xml:space="preserve">• 전환당 비용</t>
    </r>
    <r>
      <rPr>
        <sz val="10"/>
        <rFont val="Arial"/>
        <family val="0"/>
        <charset val="1"/>
      </rPr>
      <t xml:space="preserve">(CPA)</t>
    </r>
    <r>
      <rPr>
        <sz val="10"/>
        <rFont val="WenQuanYi Zen Hei"/>
        <family val="2"/>
      </rPr>
      <t xml:space="preserve">이 계속 오르면 키워드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타게팅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랜딩페이지를 점검하세요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</si>
  <si>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유튜브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알고리즘 광고는 직접 전환이 적어도 브랜드 검색량과 구독자가 늘면 인지도 효과가 있다고 볼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</si>
  <si>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광고수익률</t>
    </r>
    <r>
      <rPr>
        <sz val="10"/>
        <rFont val="Arial"/>
        <family val="0"/>
        <charset val="1"/>
      </rPr>
      <t xml:space="preserve">(ROAS)</t>
    </r>
    <r>
      <rPr>
        <sz val="10"/>
        <rFont val="WenQuanYi Zen Hei"/>
        <family val="2"/>
      </rPr>
      <t xml:space="preserve">은 평균 수익 가정에 민감합니다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배 미만이어도 재진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수술 연계 가치를 감안해 판단하세요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</si>
  <si>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한두 달 수치로 결론 내지 말고 최소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개월 추세를 보세요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알고리즘 광고는 초기 </t>
    </r>
    <r>
      <rPr>
        <sz val="10"/>
        <rFont val="Arial"/>
        <family val="0"/>
        <charset val="1"/>
      </rPr>
      <t xml:space="preserve">2~4</t>
    </r>
    <r>
      <rPr>
        <sz val="10"/>
        <rFont val="WenQuanYi Zen Hei"/>
        <family val="2"/>
      </rPr>
      <t xml:space="preserve">주 학습 기간이 필요합니다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</si>
  <si>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• 6~11</t>
    </r>
    <r>
      <rPr>
        <sz val="10"/>
        <rFont val="WenQuanYi Zen Hei"/>
        <family val="2"/>
      </rPr>
      <t xml:space="preserve">행의 월은 </t>
    </r>
    <r>
      <rPr>
        <sz val="10"/>
        <rFont val="Arial"/>
        <family val="0"/>
        <charset val="1"/>
      </rPr>
      <t xml:space="preserve">YYYY-MM </t>
    </r>
    <r>
      <rPr>
        <sz val="10"/>
        <rFont val="WenQuanYi Zen Hei"/>
        <family val="2"/>
      </rPr>
      <t xml:space="preserve">텍스트로 입력합니다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캠페인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월간 시트의 월 표기와 정확히 같아야 합계가 집계됩니다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</si>
</sst>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%"/>
    <numFmt numFmtId="167" formatCode="#,##0"/>
    <numFmt numFmtId="168" formatCode="0.00\배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i val="true"/>
      <sz val="10"/>
      <color rgb="FF595959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i val="true"/>
      <sz val="10"/>
      <color rgb="FFC00000"/>
      <name val="WenQuanYi Zen Hei"/>
      <family val="2"/>
    </font>
    <font>
      <i val="true"/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</row>
    <row r="8" customFormat="false" ht="15" hidden="false" customHeight="false" outlineLevel="0" collapsed="false">
      <c r="A8" s="5"/>
      <c r="B8" s="6"/>
    </row>
    <row r="9" customFormat="false" ht="15" hidden="false" customHeight="false" outlineLevel="0" collapsed="false">
      <c r="A9" s="5" t="s">
        <v>10</v>
      </c>
      <c r="B9" s="6" t="s">
        <v>11</v>
      </c>
    </row>
    <row r="10" customFormat="false" ht="15" hidden="false" customHeight="false" outlineLevel="0" collapsed="false">
      <c r="A10" s="5" t="s">
        <v>12</v>
      </c>
      <c r="B10" s="7" t="s">
        <v>13</v>
      </c>
    </row>
    <row r="11" customFormat="false" ht="15" hidden="false" customHeight="false" outlineLevel="0" collapsed="false">
      <c r="A11" s="5" t="s">
        <v>14</v>
      </c>
      <c r="B11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8" t="s">
        <v>16</v>
      </c>
    </row>
    <row r="2" customFormat="false" ht="15" hidden="false" customHeight="false" outlineLevel="0" collapsed="false">
      <c r="A2" s="2" t="s">
        <v>17</v>
      </c>
    </row>
    <row r="4" customFormat="false" ht="31.5" hidden="false" customHeight="true" outlineLevel="0" collapsed="false">
      <c r="A4" s="9" t="s">
        <v>18</v>
      </c>
      <c r="B4" s="10" t="s">
        <v>19</v>
      </c>
      <c r="C4" s="10" t="s">
        <v>20</v>
      </c>
      <c r="D4" s="10" t="s">
        <v>21</v>
      </c>
      <c r="E4" s="10" t="s">
        <v>22</v>
      </c>
      <c r="F4" s="10" t="s">
        <v>23</v>
      </c>
      <c r="G4" s="10" t="s">
        <v>24</v>
      </c>
      <c r="H4" s="10" t="s">
        <v>25</v>
      </c>
    </row>
    <row r="5" customFormat="false" ht="26.85" hidden="false" customHeight="false" outlineLevel="0" collapsed="false">
      <c r="A5" s="11" t="n">
        <v>1</v>
      </c>
      <c r="B5" s="11" t="s">
        <v>26</v>
      </c>
      <c r="C5" s="12" t="s">
        <v>27</v>
      </c>
      <c r="D5" s="12" t="s">
        <v>28</v>
      </c>
      <c r="E5" s="13"/>
      <c r="F5" s="14" t="s">
        <v>29</v>
      </c>
      <c r="G5" s="15"/>
      <c r="H5" s="13"/>
    </row>
    <row r="6" customFormat="false" ht="26.85" hidden="false" customHeight="false" outlineLevel="0" collapsed="false">
      <c r="A6" s="12" t="n">
        <v>2</v>
      </c>
      <c r="B6" s="11" t="s">
        <v>26</v>
      </c>
      <c r="C6" s="12" t="s">
        <v>30</v>
      </c>
      <c r="D6" s="12" t="s">
        <v>31</v>
      </c>
      <c r="E6" s="13"/>
      <c r="F6" s="14" t="s">
        <v>29</v>
      </c>
      <c r="G6" s="15"/>
      <c r="H6" s="13"/>
    </row>
    <row r="7" customFormat="false" ht="15" hidden="false" customHeight="false" outlineLevel="0" collapsed="false">
      <c r="A7" s="12" t="n">
        <v>3</v>
      </c>
      <c r="B7" s="11" t="s">
        <v>26</v>
      </c>
      <c r="C7" s="12" t="s">
        <v>32</v>
      </c>
      <c r="D7" s="12" t="s">
        <v>33</v>
      </c>
      <c r="E7" s="13"/>
      <c r="F7" s="14" t="s">
        <v>29</v>
      </c>
      <c r="G7" s="15"/>
      <c r="H7" s="13"/>
    </row>
    <row r="8" customFormat="false" ht="15" hidden="false" customHeight="false" outlineLevel="0" collapsed="false">
      <c r="A8" s="12" t="n">
        <v>4</v>
      </c>
      <c r="B8" s="11" t="s">
        <v>26</v>
      </c>
      <c r="C8" s="12" t="s">
        <v>34</v>
      </c>
      <c r="D8" s="11" t="s">
        <v>35</v>
      </c>
      <c r="E8" s="13"/>
      <c r="F8" s="14" t="s">
        <v>29</v>
      </c>
      <c r="G8" s="15"/>
      <c r="H8" s="13"/>
    </row>
    <row r="9" customFormat="false" ht="26.85" hidden="false" customHeight="false" outlineLevel="0" collapsed="false">
      <c r="A9" s="12" t="n">
        <v>5</v>
      </c>
      <c r="B9" s="11" t="s">
        <v>36</v>
      </c>
      <c r="C9" s="12" t="s">
        <v>37</v>
      </c>
      <c r="D9" s="12" t="s">
        <v>38</v>
      </c>
      <c r="E9" s="13"/>
      <c r="F9" s="14" t="s">
        <v>29</v>
      </c>
      <c r="G9" s="15"/>
      <c r="H9" s="13"/>
    </row>
    <row r="10" customFormat="false" ht="15" hidden="false" customHeight="false" outlineLevel="0" collapsed="false">
      <c r="A10" s="12" t="n">
        <v>6</v>
      </c>
      <c r="B10" s="11" t="s">
        <v>36</v>
      </c>
      <c r="C10" s="11" t="s">
        <v>39</v>
      </c>
      <c r="D10" s="11" t="s">
        <v>40</v>
      </c>
      <c r="E10" s="13"/>
      <c r="F10" s="14" t="s">
        <v>29</v>
      </c>
      <c r="G10" s="15"/>
      <c r="H10" s="13"/>
    </row>
    <row r="11" customFormat="false" ht="15" hidden="false" customHeight="false" outlineLevel="0" collapsed="false">
      <c r="A11" s="12" t="n">
        <v>7</v>
      </c>
      <c r="B11" s="11" t="s">
        <v>36</v>
      </c>
      <c r="C11" s="12" t="s">
        <v>41</v>
      </c>
      <c r="D11" s="11" t="s">
        <v>42</v>
      </c>
      <c r="E11" s="13"/>
      <c r="F11" s="14" t="s">
        <v>29</v>
      </c>
      <c r="G11" s="15"/>
      <c r="H11" s="13"/>
    </row>
    <row r="12" customFormat="false" ht="26.85" hidden="false" customHeight="false" outlineLevel="0" collapsed="false">
      <c r="A12" s="12" t="n">
        <v>8</v>
      </c>
      <c r="B12" s="11" t="s">
        <v>43</v>
      </c>
      <c r="C12" s="12" t="s">
        <v>44</v>
      </c>
      <c r="D12" s="12" t="s">
        <v>45</v>
      </c>
      <c r="E12" s="13"/>
      <c r="F12" s="14" t="s">
        <v>29</v>
      </c>
      <c r="G12" s="15"/>
      <c r="H12" s="13"/>
    </row>
    <row r="13" customFormat="false" ht="26.85" hidden="false" customHeight="false" outlineLevel="0" collapsed="false">
      <c r="A13" s="12" t="n">
        <v>9</v>
      </c>
      <c r="B13" s="11" t="s">
        <v>43</v>
      </c>
      <c r="C13" s="12" t="s">
        <v>46</v>
      </c>
      <c r="D13" s="12" t="s">
        <v>47</v>
      </c>
      <c r="E13" s="13"/>
      <c r="F13" s="14" t="s">
        <v>29</v>
      </c>
      <c r="G13" s="15"/>
      <c r="H13" s="13"/>
    </row>
    <row r="14" customFormat="false" ht="15" hidden="false" customHeight="false" outlineLevel="0" collapsed="false">
      <c r="A14" s="12" t="n">
        <v>10</v>
      </c>
      <c r="B14" s="11" t="s">
        <v>43</v>
      </c>
      <c r="C14" s="12" t="s">
        <v>48</v>
      </c>
      <c r="D14" s="12" t="s">
        <v>49</v>
      </c>
      <c r="E14" s="13"/>
      <c r="F14" s="14" t="s">
        <v>29</v>
      </c>
      <c r="G14" s="15"/>
      <c r="H14" s="13"/>
    </row>
    <row r="15" customFormat="false" ht="15" hidden="false" customHeight="false" outlineLevel="0" collapsed="false">
      <c r="A15" s="12" t="n">
        <v>11</v>
      </c>
      <c r="B15" s="11" t="s">
        <v>43</v>
      </c>
      <c r="C15" s="12" t="s">
        <v>50</v>
      </c>
      <c r="D15" s="12" t="s">
        <v>51</v>
      </c>
      <c r="E15" s="13"/>
      <c r="F15" s="14" t="s">
        <v>29</v>
      </c>
      <c r="G15" s="15"/>
      <c r="H15" s="13"/>
    </row>
    <row r="16" customFormat="false" ht="15" hidden="false" customHeight="false" outlineLevel="0" collapsed="false">
      <c r="A16" s="12" t="n">
        <v>12</v>
      </c>
      <c r="B16" s="11" t="s">
        <v>43</v>
      </c>
      <c r="C16" s="12" t="s">
        <v>52</v>
      </c>
      <c r="D16" s="12" t="s">
        <v>53</v>
      </c>
      <c r="E16" s="13"/>
      <c r="F16" s="14" t="s">
        <v>29</v>
      </c>
      <c r="G16" s="15"/>
      <c r="H16" s="13"/>
    </row>
    <row r="17" customFormat="false" ht="15" hidden="false" customHeight="false" outlineLevel="0" collapsed="false">
      <c r="A17" s="12" t="n">
        <v>13</v>
      </c>
      <c r="B17" s="11" t="s">
        <v>54</v>
      </c>
      <c r="C17" s="12" t="s">
        <v>55</v>
      </c>
      <c r="D17" s="12" t="s">
        <v>56</v>
      </c>
      <c r="E17" s="13"/>
      <c r="F17" s="14" t="s">
        <v>29</v>
      </c>
      <c r="G17" s="15"/>
      <c r="H17" s="13"/>
    </row>
    <row r="18" customFormat="false" ht="26.85" hidden="false" customHeight="false" outlineLevel="0" collapsed="false">
      <c r="A18" s="12" t="n">
        <v>14</v>
      </c>
      <c r="B18" s="11" t="s">
        <v>54</v>
      </c>
      <c r="C18" s="12" t="s">
        <v>57</v>
      </c>
      <c r="D18" s="12" t="s">
        <v>58</v>
      </c>
      <c r="E18" s="13"/>
      <c r="F18" s="14" t="s">
        <v>29</v>
      </c>
      <c r="G18" s="15"/>
      <c r="H18" s="13"/>
    </row>
    <row r="19" customFormat="false" ht="15" hidden="false" customHeight="false" outlineLevel="0" collapsed="false">
      <c r="A19" s="12" t="n">
        <v>15</v>
      </c>
      <c r="B19" s="11" t="s">
        <v>54</v>
      </c>
      <c r="C19" s="12" t="s">
        <v>59</v>
      </c>
      <c r="D19" s="12" t="s">
        <v>60</v>
      </c>
      <c r="E19" s="13"/>
      <c r="F19" s="14" t="s">
        <v>29</v>
      </c>
      <c r="G19" s="15"/>
      <c r="H19" s="13"/>
    </row>
    <row r="20" customFormat="false" ht="15" hidden="false" customHeight="false" outlineLevel="0" collapsed="false">
      <c r="A20" s="12" t="n">
        <v>16</v>
      </c>
      <c r="B20" s="11" t="s">
        <v>54</v>
      </c>
      <c r="C20" s="12" t="s">
        <v>61</v>
      </c>
      <c r="D20" s="12" t="s">
        <v>62</v>
      </c>
      <c r="E20" s="13"/>
      <c r="F20" s="14" t="s">
        <v>29</v>
      </c>
      <c r="G20" s="15"/>
      <c r="H20" s="13"/>
    </row>
    <row r="21" customFormat="false" ht="26.85" hidden="false" customHeight="false" outlineLevel="0" collapsed="false">
      <c r="A21" s="12" t="n">
        <v>17</v>
      </c>
      <c r="B21" s="11" t="s">
        <v>63</v>
      </c>
      <c r="C21" s="12" t="s">
        <v>64</v>
      </c>
      <c r="D21" s="12" t="s">
        <v>65</v>
      </c>
      <c r="E21" s="13"/>
      <c r="F21" s="14" t="s">
        <v>29</v>
      </c>
      <c r="G21" s="15"/>
      <c r="H21" s="13"/>
    </row>
    <row r="22" customFormat="false" ht="26.85" hidden="false" customHeight="false" outlineLevel="0" collapsed="false">
      <c r="A22" s="12" t="n">
        <v>18</v>
      </c>
      <c r="B22" s="11" t="s">
        <v>63</v>
      </c>
      <c r="C22" s="12" t="s">
        <v>66</v>
      </c>
      <c r="D22" s="12" t="s">
        <v>67</v>
      </c>
      <c r="E22" s="13"/>
      <c r="F22" s="14" t="s">
        <v>29</v>
      </c>
      <c r="G22" s="15"/>
      <c r="H22" s="13"/>
    </row>
    <row r="23" customFormat="false" ht="15" hidden="false" customHeight="false" outlineLevel="0" collapsed="false">
      <c r="A23" s="12" t="n">
        <v>19</v>
      </c>
      <c r="B23" s="11" t="s">
        <v>68</v>
      </c>
      <c r="C23" s="12" t="s">
        <v>69</v>
      </c>
      <c r="D23" s="12" t="s">
        <v>70</v>
      </c>
      <c r="E23" s="13"/>
      <c r="F23" s="14" t="s">
        <v>29</v>
      </c>
      <c r="G23" s="15"/>
      <c r="H23" s="13"/>
    </row>
    <row r="24" customFormat="false" ht="15" hidden="false" customHeight="false" outlineLevel="0" collapsed="false">
      <c r="A24" s="12" t="n">
        <v>20</v>
      </c>
      <c r="B24" s="11" t="s">
        <v>68</v>
      </c>
      <c r="C24" s="12" t="s">
        <v>71</v>
      </c>
      <c r="D24" s="12" t="s">
        <v>72</v>
      </c>
      <c r="E24" s="13"/>
      <c r="F24" s="14" t="s">
        <v>29</v>
      </c>
      <c r="G24" s="15"/>
      <c r="H24" s="13"/>
    </row>
    <row r="25" customFormat="false" ht="26.85" hidden="false" customHeight="false" outlineLevel="0" collapsed="false">
      <c r="A25" s="12" t="n">
        <v>21</v>
      </c>
      <c r="B25" s="11" t="s">
        <v>68</v>
      </c>
      <c r="C25" s="12" t="s">
        <v>73</v>
      </c>
      <c r="D25" s="12" t="s">
        <v>74</v>
      </c>
      <c r="E25" s="13"/>
      <c r="F25" s="14" t="s">
        <v>29</v>
      </c>
      <c r="G25" s="15"/>
      <c r="H25" s="13"/>
    </row>
    <row r="26" customFormat="false" ht="15" hidden="false" customHeight="false" outlineLevel="0" collapsed="false">
      <c r="A26" s="12" t="n">
        <v>22</v>
      </c>
      <c r="B26" s="11" t="s">
        <v>68</v>
      </c>
      <c r="C26" s="12" t="s">
        <v>75</v>
      </c>
      <c r="D26" s="12" t="s">
        <v>76</v>
      </c>
      <c r="E26" s="13"/>
      <c r="F26" s="14" t="s">
        <v>29</v>
      </c>
      <c r="G26" s="15"/>
      <c r="H26" s="13"/>
    </row>
    <row r="27" customFormat="false" ht="26.85" hidden="false" customHeight="false" outlineLevel="0" collapsed="false">
      <c r="A27" s="12" t="n">
        <v>23</v>
      </c>
      <c r="B27" s="11" t="s">
        <v>77</v>
      </c>
      <c r="C27" s="11" t="s">
        <v>78</v>
      </c>
      <c r="D27" s="12" t="s">
        <v>79</v>
      </c>
      <c r="E27" s="13"/>
      <c r="F27" s="14" t="s">
        <v>29</v>
      </c>
      <c r="G27" s="15"/>
      <c r="H27" s="13"/>
    </row>
    <row r="28" customFormat="false" ht="15" hidden="false" customHeight="false" outlineLevel="0" collapsed="false">
      <c r="A28" s="12" t="n">
        <v>24</v>
      </c>
      <c r="B28" s="11" t="s">
        <v>77</v>
      </c>
      <c r="C28" s="12" t="s">
        <v>80</v>
      </c>
      <c r="D28" s="12" t="s">
        <v>81</v>
      </c>
      <c r="E28" s="13"/>
      <c r="F28" s="14" t="s">
        <v>29</v>
      </c>
      <c r="G28" s="15"/>
      <c r="H28" s="13"/>
    </row>
    <row r="29" customFormat="false" ht="15" hidden="false" customHeight="false" outlineLevel="0" collapsed="false">
      <c r="A29" s="12" t="n">
        <v>25</v>
      </c>
      <c r="B29" s="11" t="s">
        <v>77</v>
      </c>
      <c r="C29" s="12" t="s">
        <v>82</v>
      </c>
      <c r="D29" s="12" t="s">
        <v>83</v>
      </c>
      <c r="E29" s="13"/>
      <c r="F29" s="14" t="s">
        <v>29</v>
      </c>
      <c r="G29" s="15"/>
      <c r="H29" s="13"/>
    </row>
    <row r="30" customFormat="false" ht="39.55" hidden="false" customHeight="false" outlineLevel="0" collapsed="false">
      <c r="A30" s="12" t="n">
        <v>26</v>
      </c>
      <c r="B30" s="11" t="s">
        <v>84</v>
      </c>
      <c r="C30" s="12" t="s">
        <v>85</v>
      </c>
      <c r="D30" s="12" t="s">
        <v>86</v>
      </c>
      <c r="E30" s="13"/>
      <c r="F30" s="14" t="s">
        <v>29</v>
      </c>
      <c r="G30" s="15"/>
      <c r="H30" s="13"/>
    </row>
    <row r="32" customFormat="false" ht="15" hidden="false" customHeight="false" outlineLevel="0" collapsed="false">
      <c r="C32" s="5" t="s">
        <v>87</v>
      </c>
      <c r="D32" s="16" t="n">
        <f aca="false">COUNTIF(F5:F30,"완료")/(COUNTA(F5:F30)-COUNTIF(F5:F30,"해당없음"))</f>
        <v>0</v>
      </c>
    </row>
    <row r="33" customFormat="false" ht="15" hidden="false" customHeight="false" outlineLevel="0" collapsed="false">
      <c r="C33" s="2" t="s">
        <v>88</v>
      </c>
    </row>
  </sheetData>
  <dataValidations count="1">
    <dataValidation allowBlank="true" errorStyle="stop" operator="between" showDropDown="false" showErrorMessage="false" showInputMessage="false" sqref="F5:F30" type="list">
      <formula1>"미착수,진행중,완료,해당없음"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10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6" min="15" style="0" width="13"/>
    <col collapsed="false" customWidth="true" hidden="false" outlineLevel="0" max="17" min="17" style="0" width="14"/>
  </cols>
  <sheetData>
    <row r="1" customFormat="false" ht="19.4" hidden="false" customHeight="false" outlineLevel="0" collapsed="false">
      <c r="A1" s="8" t="s">
        <v>89</v>
      </c>
    </row>
    <row r="2" customFormat="false" ht="15" hidden="false" customHeight="false" outlineLevel="0" collapsed="false">
      <c r="A2" s="2" t="s">
        <v>90</v>
      </c>
    </row>
    <row r="4" customFormat="false" ht="31.5" hidden="false" customHeight="true" outlineLevel="0" collapsed="false">
      <c r="A4" s="10" t="s">
        <v>91</v>
      </c>
      <c r="B4" s="10" t="s">
        <v>92</v>
      </c>
      <c r="C4" s="10" t="s">
        <v>93</v>
      </c>
      <c r="D4" s="10" t="s">
        <v>94</v>
      </c>
      <c r="E4" s="10" t="s">
        <v>95</v>
      </c>
      <c r="F4" s="10" t="s">
        <v>96</v>
      </c>
      <c r="G4" s="10" t="s">
        <v>97</v>
      </c>
      <c r="H4" s="10" t="s">
        <v>98</v>
      </c>
      <c r="I4" s="10" t="s">
        <v>99</v>
      </c>
      <c r="J4" s="10" t="s">
        <v>100</v>
      </c>
      <c r="K4" s="10" t="s">
        <v>101</v>
      </c>
      <c r="L4" s="10" t="s">
        <v>102</v>
      </c>
      <c r="M4" s="10" t="s">
        <v>103</v>
      </c>
      <c r="N4" s="10" t="s">
        <v>104</v>
      </c>
      <c r="O4" s="10" t="s">
        <v>105</v>
      </c>
      <c r="P4" s="10" t="s">
        <v>106</v>
      </c>
      <c r="Q4" s="10" t="s">
        <v>25</v>
      </c>
    </row>
    <row r="5" customFormat="false" ht="15" hidden="false" customHeight="false" outlineLevel="0" collapsed="false">
      <c r="A5" s="17" t="s">
        <v>107</v>
      </c>
      <c r="B5" s="18" t="s">
        <v>108</v>
      </c>
      <c r="C5" s="18" t="s">
        <v>109</v>
      </c>
      <c r="D5" s="19" t="n">
        <v>1200000</v>
      </c>
      <c r="E5" s="19" t="n">
        <v>18000</v>
      </c>
      <c r="F5" s="19" t="n">
        <v>540</v>
      </c>
      <c r="G5" s="19" t="n">
        <v>0</v>
      </c>
      <c r="H5" s="19" t="n">
        <v>12</v>
      </c>
      <c r="I5" s="19" t="n">
        <v>9</v>
      </c>
      <c r="J5" s="19" t="n">
        <v>20</v>
      </c>
      <c r="K5" s="20" t="n">
        <f aca="false">IF(COUNT(H5:J5)=0,"",SUM(H5:J5))</f>
        <v>41</v>
      </c>
      <c r="L5" s="21" t="n">
        <f aca="false">IF(OR(E5="",E5=0),"",F5/E5)</f>
        <v>0.03</v>
      </c>
      <c r="M5" s="20" t="n">
        <f aca="false">IF(OR(F5="",F5=0),"",D5/F5)</f>
        <v>2222.22222222222</v>
      </c>
      <c r="N5" s="21" t="n">
        <f aca="false">IF(OR(E5="",E5=0,G5=""),"",G5/E5)</f>
        <v>0</v>
      </c>
      <c r="O5" s="20" t="str">
        <f aca="false">IF(OR(G5="",G5=0),"",D5/G5)</f>
        <v/>
      </c>
      <c r="P5" s="20" t="n">
        <f aca="false">IF(OR(K5="",K5=0),"",D5/K5)</f>
        <v>29268.2926829268</v>
      </c>
      <c r="Q5" s="22" t="s">
        <v>110</v>
      </c>
    </row>
    <row r="6" customFormat="false" ht="15" hidden="false" customHeight="false" outlineLevel="0" collapsed="false">
      <c r="A6" s="17" t="s">
        <v>107</v>
      </c>
      <c r="B6" s="18" t="s">
        <v>111</v>
      </c>
      <c r="C6" s="18" t="s">
        <v>112</v>
      </c>
      <c r="D6" s="19" t="n">
        <v>900000</v>
      </c>
      <c r="E6" s="19" t="n">
        <v>150000</v>
      </c>
      <c r="F6" s="19" t="n">
        <v>900</v>
      </c>
      <c r="G6" s="19" t="n">
        <v>32000</v>
      </c>
      <c r="H6" s="19" t="n">
        <v>3</v>
      </c>
      <c r="I6" s="19" t="n">
        <v>4</v>
      </c>
      <c r="J6" s="19" t="n">
        <v>15</v>
      </c>
      <c r="K6" s="20" t="n">
        <f aca="false">IF(COUNT(H6:J6)=0,"",SUM(H6:J6))</f>
        <v>22</v>
      </c>
      <c r="L6" s="21" t="n">
        <f aca="false">IF(OR(E6="",E6=0),"",F6/E6)</f>
        <v>0.006</v>
      </c>
      <c r="M6" s="20" t="n">
        <f aca="false">IF(OR(F6="",F6=0),"",D6/F6)</f>
        <v>1000</v>
      </c>
      <c r="N6" s="21" t="n">
        <f aca="false">IF(OR(E6="",E6=0,G6=""),"",G6/E6)</f>
        <v>0.213333333333333</v>
      </c>
      <c r="O6" s="20" t="n">
        <f aca="false">IF(OR(G6="",G6=0),"",D6/G6)</f>
        <v>28.125</v>
      </c>
      <c r="P6" s="20" t="n">
        <f aca="false">IF(OR(K6="",K6=0),"",D6/K6)</f>
        <v>40909.0909090909</v>
      </c>
      <c r="Q6" s="22" t="s">
        <v>110</v>
      </c>
    </row>
    <row r="7" customFormat="false" ht="15" hidden="false" customHeight="false" outlineLevel="0" collapsed="false">
      <c r="A7" s="17" t="s">
        <v>107</v>
      </c>
      <c r="B7" s="18" t="s">
        <v>113</v>
      </c>
      <c r="C7" s="18" t="s">
        <v>114</v>
      </c>
      <c r="D7" s="19" t="n">
        <v>700000</v>
      </c>
      <c r="E7" s="19" t="n">
        <v>90000</v>
      </c>
      <c r="F7" s="19" t="n">
        <v>630</v>
      </c>
      <c r="G7" s="19" t="n">
        <v>21000</v>
      </c>
      <c r="H7" s="19" t="n">
        <v>2</v>
      </c>
      <c r="I7" s="19" t="n">
        <v>3</v>
      </c>
      <c r="J7" s="19" t="n">
        <v>10</v>
      </c>
      <c r="K7" s="20" t="n">
        <f aca="false">IF(COUNT(H7:J7)=0,"",SUM(H7:J7))</f>
        <v>15</v>
      </c>
      <c r="L7" s="21" t="n">
        <f aca="false">IF(OR(E7="",E7=0),"",F7/E7)</f>
        <v>0.007</v>
      </c>
      <c r="M7" s="20" t="n">
        <f aca="false">IF(OR(F7="",F7=0),"",D7/F7)</f>
        <v>1111.11111111111</v>
      </c>
      <c r="N7" s="21" t="n">
        <f aca="false">IF(OR(E7="",E7=0,G7=""),"",G7/E7)</f>
        <v>0.233333333333333</v>
      </c>
      <c r="O7" s="20" t="n">
        <f aca="false">IF(OR(G7="",G7=0),"",D7/G7)</f>
        <v>33.3333333333333</v>
      </c>
      <c r="P7" s="20" t="n">
        <f aca="false">IF(OR(K7="",K7=0),"",D7/K7)</f>
        <v>46666.6666666667</v>
      </c>
      <c r="Q7" s="22" t="s">
        <v>110</v>
      </c>
    </row>
    <row r="8" customFormat="false" ht="15" hidden="false" customHeight="false" outlineLevel="0" collapsed="false">
      <c r="A8" s="17"/>
      <c r="B8" s="18"/>
      <c r="C8" s="17"/>
      <c r="D8" s="19"/>
      <c r="E8" s="19"/>
      <c r="F8" s="19"/>
      <c r="G8" s="19"/>
      <c r="H8" s="19"/>
      <c r="I8" s="19"/>
      <c r="J8" s="19"/>
      <c r="K8" s="20" t="str">
        <f aca="false">IF(COUNT(H8:J8)=0,"",SUM(H8:J8))</f>
        <v/>
      </c>
      <c r="L8" s="21" t="str">
        <f aca="false">IF(OR(E8="",E8=0),"",F8/E8)</f>
        <v/>
      </c>
      <c r="M8" s="20" t="str">
        <f aca="false">IF(OR(F8="",F8=0),"",D8/F8)</f>
        <v/>
      </c>
      <c r="N8" s="21" t="str">
        <f aca="false">IF(OR(E8="",E8=0,G8=""),"",G8/E8)</f>
        <v/>
      </c>
      <c r="O8" s="20" t="str">
        <f aca="false">IF(OR(G8="",G8=0),"",D8/G8)</f>
        <v/>
      </c>
      <c r="P8" s="20" t="str">
        <f aca="false">IF(OR(K8="",K8=0),"",D8/K8)</f>
        <v/>
      </c>
      <c r="Q8" s="22"/>
    </row>
    <row r="9" customFormat="false" ht="15" hidden="false" customHeight="false" outlineLevel="0" collapsed="false">
      <c r="A9" s="17"/>
      <c r="B9" s="18"/>
      <c r="C9" s="17"/>
      <c r="D9" s="19"/>
      <c r="E9" s="19"/>
      <c r="F9" s="19"/>
      <c r="G9" s="19"/>
      <c r="H9" s="19"/>
      <c r="I9" s="19"/>
      <c r="J9" s="19"/>
      <c r="K9" s="20" t="str">
        <f aca="false">IF(COUNT(H9:J9)=0,"",SUM(H9:J9))</f>
        <v/>
      </c>
      <c r="L9" s="21" t="str">
        <f aca="false">IF(OR(E9="",E9=0),"",F9/E9)</f>
        <v/>
      </c>
      <c r="M9" s="20" t="str">
        <f aca="false">IF(OR(F9="",F9=0),"",D9/F9)</f>
        <v/>
      </c>
      <c r="N9" s="21" t="str">
        <f aca="false">IF(OR(E9="",E9=0,G9=""),"",G9/E9)</f>
        <v/>
      </c>
      <c r="O9" s="20" t="str">
        <f aca="false">IF(OR(G9="",G9=0),"",D9/G9)</f>
        <v/>
      </c>
      <c r="P9" s="20" t="str">
        <f aca="false">IF(OR(K9="",K9=0),"",D9/K9)</f>
        <v/>
      </c>
      <c r="Q9" s="22"/>
    </row>
    <row r="10" customFormat="false" ht="15" hidden="false" customHeight="false" outlineLevel="0" collapsed="false">
      <c r="A10" s="17"/>
      <c r="B10" s="18"/>
      <c r="C10" s="17"/>
      <c r="D10" s="19"/>
      <c r="E10" s="19"/>
      <c r="F10" s="19"/>
      <c r="G10" s="19"/>
      <c r="H10" s="19"/>
      <c r="I10" s="19"/>
      <c r="J10" s="19"/>
      <c r="K10" s="20" t="str">
        <f aca="false">IF(COUNT(H10:J10)=0,"",SUM(H10:J10))</f>
        <v/>
      </c>
      <c r="L10" s="21" t="str">
        <f aca="false">IF(OR(E10="",E10=0),"",F10/E10)</f>
        <v/>
      </c>
      <c r="M10" s="20" t="str">
        <f aca="false">IF(OR(F10="",F10=0),"",D10/F10)</f>
        <v/>
      </c>
      <c r="N10" s="21" t="str">
        <f aca="false">IF(OR(E10="",E10=0,G10=""),"",G10/E10)</f>
        <v/>
      </c>
      <c r="O10" s="20" t="str">
        <f aca="false">IF(OR(G10="",G10=0),"",D10/G10)</f>
        <v/>
      </c>
      <c r="P10" s="20" t="str">
        <f aca="false">IF(OR(K10="",K10=0),"",D10/K10)</f>
        <v/>
      </c>
      <c r="Q10" s="22"/>
    </row>
    <row r="11" customFormat="false" ht="15" hidden="false" customHeight="false" outlineLevel="0" collapsed="false">
      <c r="A11" s="17"/>
      <c r="B11" s="18"/>
      <c r="C11" s="17"/>
      <c r="D11" s="19"/>
      <c r="E11" s="19"/>
      <c r="F11" s="19"/>
      <c r="G11" s="19"/>
      <c r="H11" s="19"/>
      <c r="I11" s="19"/>
      <c r="J11" s="19"/>
      <c r="K11" s="20" t="str">
        <f aca="false">IF(COUNT(H11:J11)=0,"",SUM(H11:J11))</f>
        <v/>
      </c>
      <c r="L11" s="21" t="str">
        <f aca="false">IF(OR(E11="",E11=0),"",F11/E11)</f>
        <v/>
      </c>
      <c r="M11" s="20" t="str">
        <f aca="false">IF(OR(F11="",F11=0),"",D11/F11)</f>
        <v/>
      </c>
      <c r="N11" s="21" t="str">
        <f aca="false">IF(OR(E11="",E11=0,G11=""),"",G11/E11)</f>
        <v/>
      </c>
      <c r="O11" s="20" t="str">
        <f aca="false">IF(OR(G11="",G11=0),"",D11/G11)</f>
        <v/>
      </c>
      <c r="P11" s="20" t="str">
        <f aca="false">IF(OR(K11="",K11=0),"",D11/K11)</f>
        <v/>
      </c>
      <c r="Q11" s="22"/>
    </row>
    <row r="12" customFormat="false" ht="15" hidden="false" customHeight="false" outlineLevel="0" collapsed="false">
      <c r="A12" s="17"/>
      <c r="B12" s="18"/>
      <c r="C12" s="17"/>
      <c r="D12" s="19"/>
      <c r="E12" s="19"/>
      <c r="F12" s="19"/>
      <c r="G12" s="19"/>
      <c r="H12" s="19"/>
      <c r="I12" s="19"/>
      <c r="J12" s="19"/>
      <c r="K12" s="20" t="str">
        <f aca="false">IF(COUNT(H12:J12)=0,"",SUM(H12:J12))</f>
        <v/>
      </c>
      <c r="L12" s="21" t="str">
        <f aca="false">IF(OR(E12="",E12=0),"",F12/E12)</f>
        <v/>
      </c>
      <c r="M12" s="20" t="str">
        <f aca="false">IF(OR(F12="",F12=0),"",D12/F12)</f>
        <v/>
      </c>
      <c r="N12" s="21" t="str">
        <f aca="false">IF(OR(E12="",E12=0,G12=""),"",G12/E12)</f>
        <v/>
      </c>
      <c r="O12" s="20" t="str">
        <f aca="false">IF(OR(G12="",G12=0),"",D12/G12)</f>
        <v/>
      </c>
      <c r="P12" s="20" t="str">
        <f aca="false">IF(OR(K12="",K12=0),"",D12/K12)</f>
        <v/>
      </c>
      <c r="Q12" s="22"/>
    </row>
    <row r="13" customFormat="false" ht="15" hidden="false" customHeight="false" outlineLevel="0" collapsed="false">
      <c r="A13" s="17"/>
      <c r="B13" s="18"/>
      <c r="C13" s="17"/>
      <c r="D13" s="19"/>
      <c r="E13" s="19"/>
      <c r="F13" s="19"/>
      <c r="G13" s="19"/>
      <c r="H13" s="19"/>
      <c r="I13" s="19"/>
      <c r="J13" s="19"/>
      <c r="K13" s="20" t="str">
        <f aca="false">IF(COUNT(H13:J13)=0,"",SUM(H13:J13))</f>
        <v/>
      </c>
      <c r="L13" s="21" t="str">
        <f aca="false">IF(OR(E13="",E13=0),"",F13/E13)</f>
        <v/>
      </c>
      <c r="M13" s="20" t="str">
        <f aca="false">IF(OR(F13="",F13=0),"",D13/F13)</f>
        <v/>
      </c>
      <c r="N13" s="21" t="str">
        <f aca="false">IF(OR(E13="",E13=0,G13=""),"",G13/E13)</f>
        <v/>
      </c>
      <c r="O13" s="20" t="str">
        <f aca="false">IF(OR(G13="",G13=0),"",D13/G13)</f>
        <v/>
      </c>
      <c r="P13" s="20" t="str">
        <f aca="false">IF(OR(K13="",K13=0),"",D13/K13)</f>
        <v/>
      </c>
      <c r="Q13" s="22"/>
    </row>
    <row r="14" customFormat="false" ht="15" hidden="false" customHeight="false" outlineLevel="0" collapsed="false">
      <c r="A14" s="17"/>
      <c r="B14" s="18"/>
      <c r="C14" s="17"/>
      <c r="D14" s="19"/>
      <c r="E14" s="19"/>
      <c r="F14" s="19"/>
      <c r="G14" s="19"/>
      <c r="H14" s="19"/>
      <c r="I14" s="19"/>
      <c r="J14" s="19"/>
      <c r="K14" s="20" t="str">
        <f aca="false">IF(COUNT(H14:J14)=0,"",SUM(H14:J14))</f>
        <v/>
      </c>
      <c r="L14" s="21" t="str">
        <f aca="false">IF(OR(E14="",E14=0),"",F14/E14)</f>
        <v/>
      </c>
      <c r="M14" s="20" t="str">
        <f aca="false">IF(OR(F14="",F14=0),"",D14/F14)</f>
        <v/>
      </c>
      <c r="N14" s="21" t="str">
        <f aca="false">IF(OR(E14="",E14=0,G14=""),"",G14/E14)</f>
        <v/>
      </c>
      <c r="O14" s="20" t="str">
        <f aca="false">IF(OR(G14="",G14=0),"",D14/G14)</f>
        <v/>
      </c>
      <c r="P14" s="20" t="str">
        <f aca="false">IF(OR(K14="",K14=0),"",D14/K14)</f>
        <v/>
      </c>
      <c r="Q14" s="22"/>
    </row>
    <row r="15" customFormat="false" ht="15" hidden="false" customHeight="false" outlineLevel="0" collapsed="false">
      <c r="A15" s="17"/>
      <c r="B15" s="18"/>
      <c r="C15" s="17"/>
      <c r="D15" s="19"/>
      <c r="E15" s="19"/>
      <c r="F15" s="19"/>
      <c r="G15" s="19"/>
      <c r="H15" s="19"/>
      <c r="I15" s="19"/>
      <c r="J15" s="19"/>
      <c r="K15" s="20" t="str">
        <f aca="false">IF(COUNT(H15:J15)=0,"",SUM(H15:J15))</f>
        <v/>
      </c>
      <c r="L15" s="21" t="str">
        <f aca="false">IF(OR(E15="",E15=0),"",F15/E15)</f>
        <v/>
      </c>
      <c r="M15" s="20" t="str">
        <f aca="false">IF(OR(F15="",F15=0),"",D15/F15)</f>
        <v/>
      </c>
      <c r="N15" s="21" t="str">
        <f aca="false">IF(OR(E15="",E15=0,G15=""),"",G15/E15)</f>
        <v/>
      </c>
      <c r="O15" s="20" t="str">
        <f aca="false">IF(OR(G15="",G15=0),"",D15/G15)</f>
        <v/>
      </c>
      <c r="P15" s="20" t="str">
        <f aca="false">IF(OR(K15="",K15=0),"",D15/K15)</f>
        <v/>
      </c>
      <c r="Q15" s="22"/>
    </row>
    <row r="16" customFormat="false" ht="15" hidden="false" customHeight="false" outlineLevel="0" collapsed="false">
      <c r="A16" s="17"/>
      <c r="B16" s="18"/>
      <c r="C16" s="17"/>
      <c r="D16" s="19"/>
      <c r="E16" s="19"/>
      <c r="F16" s="19"/>
      <c r="G16" s="19"/>
      <c r="H16" s="19"/>
      <c r="I16" s="19"/>
      <c r="J16" s="19"/>
      <c r="K16" s="20" t="str">
        <f aca="false">IF(COUNT(H16:J16)=0,"",SUM(H16:J16))</f>
        <v/>
      </c>
      <c r="L16" s="21" t="str">
        <f aca="false">IF(OR(E16="",E16=0),"",F16/E16)</f>
        <v/>
      </c>
      <c r="M16" s="20" t="str">
        <f aca="false">IF(OR(F16="",F16=0),"",D16/F16)</f>
        <v/>
      </c>
      <c r="N16" s="21" t="str">
        <f aca="false">IF(OR(E16="",E16=0,G16=""),"",G16/E16)</f>
        <v/>
      </c>
      <c r="O16" s="20" t="str">
        <f aca="false">IF(OR(G16="",G16=0),"",D16/G16)</f>
        <v/>
      </c>
      <c r="P16" s="20" t="str">
        <f aca="false">IF(OR(K16="",K16=0),"",D16/K16)</f>
        <v/>
      </c>
      <c r="Q16" s="22"/>
    </row>
    <row r="17" customFormat="false" ht="15" hidden="false" customHeight="false" outlineLevel="0" collapsed="false">
      <c r="A17" s="17"/>
      <c r="B17" s="18"/>
      <c r="C17" s="17"/>
      <c r="D17" s="19"/>
      <c r="E17" s="19"/>
      <c r="F17" s="19"/>
      <c r="G17" s="19"/>
      <c r="H17" s="19"/>
      <c r="I17" s="19"/>
      <c r="J17" s="19"/>
      <c r="K17" s="20" t="str">
        <f aca="false">IF(COUNT(H17:J17)=0,"",SUM(H17:J17))</f>
        <v/>
      </c>
      <c r="L17" s="21" t="str">
        <f aca="false">IF(OR(E17="",E17=0),"",F17/E17)</f>
        <v/>
      </c>
      <c r="M17" s="20" t="str">
        <f aca="false">IF(OR(F17="",F17=0),"",D17/F17)</f>
        <v/>
      </c>
      <c r="N17" s="21" t="str">
        <f aca="false">IF(OR(E17="",E17=0,G17=""),"",G17/E17)</f>
        <v/>
      </c>
      <c r="O17" s="20" t="str">
        <f aca="false">IF(OR(G17="",G17=0),"",D17/G17)</f>
        <v/>
      </c>
      <c r="P17" s="20" t="str">
        <f aca="false">IF(OR(K17="",K17=0),"",D17/K17)</f>
        <v/>
      </c>
      <c r="Q17" s="22"/>
    </row>
    <row r="18" customFormat="false" ht="15" hidden="false" customHeight="false" outlineLevel="0" collapsed="false">
      <c r="A18" s="17"/>
      <c r="B18" s="18"/>
      <c r="C18" s="17"/>
      <c r="D18" s="19"/>
      <c r="E18" s="19"/>
      <c r="F18" s="19"/>
      <c r="G18" s="19"/>
      <c r="H18" s="19"/>
      <c r="I18" s="19"/>
      <c r="J18" s="19"/>
      <c r="K18" s="20" t="str">
        <f aca="false">IF(COUNT(H18:J18)=0,"",SUM(H18:J18))</f>
        <v/>
      </c>
      <c r="L18" s="21" t="str">
        <f aca="false">IF(OR(E18="",E18=0),"",F18/E18)</f>
        <v/>
      </c>
      <c r="M18" s="20" t="str">
        <f aca="false">IF(OR(F18="",F18=0),"",D18/F18)</f>
        <v/>
      </c>
      <c r="N18" s="21" t="str">
        <f aca="false">IF(OR(E18="",E18=0,G18=""),"",G18/E18)</f>
        <v/>
      </c>
      <c r="O18" s="20" t="str">
        <f aca="false">IF(OR(G18="",G18=0),"",D18/G18)</f>
        <v/>
      </c>
      <c r="P18" s="20" t="str">
        <f aca="false">IF(OR(K18="",K18=0),"",D18/K18)</f>
        <v/>
      </c>
      <c r="Q18" s="22"/>
    </row>
    <row r="19" customFormat="false" ht="15" hidden="false" customHeight="false" outlineLevel="0" collapsed="false">
      <c r="A19" s="17"/>
      <c r="B19" s="18"/>
      <c r="C19" s="17"/>
      <c r="D19" s="19"/>
      <c r="E19" s="19"/>
      <c r="F19" s="19"/>
      <c r="G19" s="19"/>
      <c r="H19" s="19"/>
      <c r="I19" s="19"/>
      <c r="J19" s="19"/>
      <c r="K19" s="20" t="str">
        <f aca="false">IF(COUNT(H19:J19)=0,"",SUM(H19:J19))</f>
        <v/>
      </c>
      <c r="L19" s="21" t="str">
        <f aca="false">IF(OR(E19="",E19=0),"",F19/E19)</f>
        <v/>
      </c>
      <c r="M19" s="20" t="str">
        <f aca="false">IF(OR(F19="",F19=0),"",D19/F19)</f>
        <v/>
      </c>
      <c r="N19" s="21" t="str">
        <f aca="false">IF(OR(E19="",E19=0,G19=""),"",G19/E19)</f>
        <v/>
      </c>
      <c r="O19" s="20" t="str">
        <f aca="false">IF(OR(G19="",G19=0),"",D19/G19)</f>
        <v/>
      </c>
      <c r="P19" s="20" t="str">
        <f aca="false">IF(OR(K19="",K19=0),"",D19/K19)</f>
        <v/>
      </c>
      <c r="Q19" s="22"/>
    </row>
    <row r="20" customFormat="false" ht="15" hidden="false" customHeight="false" outlineLevel="0" collapsed="false">
      <c r="A20" s="17"/>
      <c r="B20" s="18"/>
      <c r="C20" s="17"/>
      <c r="D20" s="19"/>
      <c r="E20" s="19"/>
      <c r="F20" s="19"/>
      <c r="G20" s="19"/>
      <c r="H20" s="19"/>
      <c r="I20" s="19"/>
      <c r="J20" s="19"/>
      <c r="K20" s="20" t="str">
        <f aca="false">IF(COUNT(H20:J20)=0,"",SUM(H20:J20))</f>
        <v/>
      </c>
      <c r="L20" s="21" t="str">
        <f aca="false">IF(OR(E20="",E20=0),"",F20/E20)</f>
        <v/>
      </c>
      <c r="M20" s="20" t="str">
        <f aca="false">IF(OR(F20="",F20=0),"",D20/F20)</f>
        <v/>
      </c>
      <c r="N20" s="21" t="str">
        <f aca="false">IF(OR(E20="",E20=0,G20=""),"",G20/E20)</f>
        <v/>
      </c>
      <c r="O20" s="20" t="str">
        <f aca="false">IF(OR(G20="",G20=0),"",D20/G20)</f>
        <v/>
      </c>
      <c r="P20" s="20" t="str">
        <f aca="false">IF(OR(K20="",K20=0),"",D20/K20)</f>
        <v/>
      </c>
      <c r="Q20" s="22"/>
    </row>
    <row r="21" customFormat="false" ht="15" hidden="false" customHeight="false" outlineLevel="0" collapsed="false">
      <c r="A21" s="17"/>
      <c r="B21" s="18"/>
      <c r="C21" s="17"/>
      <c r="D21" s="19"/>
      <c r="E21" s="19"/>
      <c r="F21" s="19"/>
      <c r="G21" s="19"/>
      <c r="H21" s="19"/>
      <c r="I21" s="19"/>
      <c r="J21" s="19"/>
      <c r="K21" s="20" t="str">
        <f aca="false">IF(COUNT(H21:J21)=0,"",SUM(H21:J21))</f>
        <v/>
      </c>
      <c r="L21" s="21" t="str">
        <f aca="false">IF(OR(E21="",E21=0),"",F21/E21)</f>
        <v/>
      </c>
      <c r="M21" s="20" t="str">
        <f aca="false">IF(OR(F21="",F21=0),"",D21/F21)</f>
        <v/>
      </c>
      <c r="N21" s="21" t="str">
        <f aca="false">IF(OR(E21="",E21=0,G21=""),"",G21/E21)</f>
        <v/>
      </c>
      <c r="O21" s="20" t="str">
        <f aca="false">IF(OR(G21="",G21=0),"",D21/G21)</f>
        <v/>
      </c>
      <c r="P21" s="20" t="str">
        <f aca="false">IF(OR(K21="",K21=0),"",D21/K21)</f>
        <v/>
      </c>
      <c r="Q21" s="22"/>
    </row>
    <row r="22" customFormat="false" ht="15" hidden="false" customHeight="false" outlineLevel="0" collapsed="false">
      <c r="A22" s="17"/>
      <c r="B22" s="18"/>
      <c r="C22" s="17"/>
      <c r="D22" s="19"/>
      <c r="E22" s="19"/>
      <c r="F22" s="19"/>
      <c r="G22" s="19"/>
      <c r="H22" s="19"/>
      <c r="I22" s="19"/>
      <c r="J22" s="19"/>
      <c r="K22" s="20" t="str">
        <f aca="false">IF(COUNT(H22:J22)=0,"",SUM(H22:J22))</f>
        <v/>
      </c>
      <c r="L22" s="21" t="str">
        <f aca="false">IF(OR(E22="",E22=0),"",F22/E22)</f>
        <v/>
      </c>
      <c r="M22" s="20" t="str">
        <f aca="false">IF(OR(F22="",F22=0),"",D22/F22)</f>
        <v/>
      </c>
      <c r="N22" s="21" t="str">
        <f aca="false">IF(OR(E22="",E22=0,G22=""),"",G22/E22)</f>
        <v/>
      </c>
      <c r="O22" s="20" t="str">
        <f aca="false">IF(OR(G22="",G22=0),"",D22/G22)</f>
        <v/>
      </c>
      <c r="P22" s="20" t="str">
        <f aca="false">IF(OR(K22="",K22=0),"",D22/K22)</f>
        <v/>
      </c>
      <c r="Q22" s="22"/>
    </row>
    <row r="23" customFormat="false" ht="15" hidden="false" customHeight="false" outlineLevel="0" collapsed="false">
      <c r="A23" s="17"/>
      <c r="B23" s="18"/>
      <c r="C23" s="17"/>
      <c r="D23" s="19"/>
      <c r="E23" s="19"/>
      <c r="F23" s="19"/>
      <c r="G23" s="19"/>
      <c r="H23" s="19"/>
      <c r="I23" s="19"/>
      <c r="J23" s="19"/>
      <c r="K23" s="20" t="str">
        <f aca="false">IF(COUNT(H23:J23)=0,"",SUM(H23:J23))</f>
        <v/>
      </c>
      <c r="L23" s="21" t="str">
        <f aca="false">IF(OR(E23="",E23=0),"",F23/E23)</f>
        <v/>
      </c>
      <c r="M23" s="20" t="str">
        <f aca="false">IF(OR(F23="",F23=0),"",D23/F23)</f>
        <v/>
      </c>
      <c r="N23" s="21" t="str">
        <f aca="false">IF(OR(E23="",E23=0,G23=""),"",G23/E23)</f>
        <v/>
      </c>
      <c r="O23" s="20" t="str">
        <f aca="false">IF(OR(G23="",G23=0),"",D23/G23)</f>
        <v/>
      </c>
      <c r="P23" s="20" t="str">
        <f aca="false">IF(OR(K23="",K23=0),"",D23/K23)</f>
        <v/>
      </c>
      <c r="Q23" s="22"/>
    </row>
    <row r="24" customFormat="false" ht="15" hidden="false" customHeight="false" outlineLevel="0" collapsed="false">
      <c r="A24" s="17"/>
      <c r="B24" s="18"/>
      <c r="C24" s="17"/>
      <c r="D24" s="19"/>
      <c r="E24" s="19"/>
      <c r="F24" s="19"/>
      <c r="G24" s="19"/>
      <c r="H24" s="19"/>
      <c r="I24" s="19"/>
      <c r="J24" s="19"/>
      <c r="K24" s="20" t="str">
        <f aca="false">IF(COUNT(H24:J24)=0,"",SUM(H24:J24))</f>
        <v/>
      </c>
      <c r="L24" s="21" t="str">
        <f aca="false">IF(OR(E24="",E24=0),"",F24/E24)</f>
        <v/>
      </c>
      <c r="M24" s="20" t="str">
        <f aca="false">IF(OR(F24="",F24=0),"",D24/F24)</f>
        <v/>
      </c>
      <c r="N24" s="21" t="str">
        <f aca="false">IF(OR(E24="",E24=0,G24=""),"",G24/E24)</f>
        <v/>
      </c>
      <c r="O24" s="20" t="str">
        <f aca="false">IF(OR(G24="",G24=0),"",D24/G24)</f>
        <v/>
      </c>
      <c r="P24" s="20" t="str">
        <f aca="false">IF(OR(K24="",K24=0),"",D24/K24)</f>
        <v/>
      </c>
      <c r="Q24" s="22"/>
    </row>
    <row r="25" customFormat="false" ht="15" hidden="false" customHeight="false" outlineLevel="0" collapsed="false">
      <c r="A25" s="17"/>
      <c r="B25" s="18"/>
      <c r="C25" s="17"/>
      <c r="D25" s="19"/>
      <c r="E25" s="19"/>
      <c r="F25" s="19"/>
      <c r="G25" s="19"/>
      <c r="H25" s="19"/>
      <c r="I25" s="19"/>
      <c r="J25" s="19"/>
      <c r="K25" s="20" t="str">
        <f aca="false">IF(COUNT(H25:J25)=0,"",SUM(H25:J25))</f>
        <v/>
      </c>
      <c r="L25" s="21" t="str">
        <f aca="false">IF(OR(E25="",E25=0),"",F25/E25)</f>
        <v/>
      </c>
      <c r="M25" s="20" t="str">
        <f aca="false">IF(OR(F25="",F25=0),"",D25/F25)</f>
        <v/>
      </c>
      <c r="N25" s="21" t="str">
        <f aca="false">IF(OR(E25="",E25=0,G25=""),"",G25/E25)</f>
        <v/>
      </c>
      <c r="O25" s="20" t="str">
        <f aca="false">IF(OR(G25="",G25=0),"",D25/G25)</f>
        <v/>
      </c>
      <c r="P25" s="20" t="str">
        <f aca="false">IF(OR(K25="",K25=0),"",D25/K25)</f>
        <v/>
      </c>
      <c r="Q25" s="22"/>
    </row>
    <row r="26" customFormat="false" ht="15" hidden="false" customHeight="false" outlineLevel="0" collapsed="false">
      <c r="A26" s="17"/>
      <c r="B26" s="18"/>
      <c r="C26" s="17"/>
      <c r="D26" s="19"/>
      <c r="E26" s="19"/>
      <c r="F26" s="19"/>
      <c r="G26" s="19"/>
      <c r="H26" s="19"/>
      <c r="I26" s="19"/>
      <c r="J26" s="19"/>
      <c r="K26" s="20" t="str">
        <f aca="false">IF(COUNT(H26:J26)=0,"",SUM(H26:J26))</f>
        <v/>
      </c>
      <c r="L26" s="21" t="str">
        <f aca="false">IF(OR(E26="",E26=0),"",F26/E26)</f>
        <v/>
      </c>
      <c r="M26" s="20" t="str">
        <f aca="false">IF(OR(F26="",F26=0),"",D26/F26)</f>
        <v/>
      </c>
      <c r="N26" s="21" t="str">
        <f aca="false">IF(OR(E26="",E26=0,G26=""),"",G26/E26)</f>
        <v/>
      </c>
      <c r="O26" s="20" t="str">
        <f aca="false">IF(OR(G26="",G26=0),"",D26/G26)</f>
        <v/>
      </c>
      <c r="P26" s="20" t="str">
        <f aca="false">IF(OR(K26="",K26=0),"",D26/K26)</f>
        <v/>
      </c>
      <c r="Q26" s="22"/>
    </row>
    <row r="27" customFormat="false" ht="15" hidden="false" customHeight="false" outlineLevel="0" collapsed="false">
      <c r="A27" s="17"/>
      <c r="B27" s="18"/>
      <c r="C27" s="17"/>
      <c r="D27" s="19"/>
      <c r="E27" s="19"/>
      <c r="F27" s="19"/>
      <c r="G27" s="19"/>
      <c r="H27" s="19"/>
      <c r="I27" s="19"/>
      <c r="J27" s="19"/>
      <c r="K27" s="20" t="str">
        <f aca="false">IF(COUNT(H27:J27)=0,"",SUM(H27:J27))</f>
        <v/>
      </c>
      <c r="L27" s="21" t="str">
        <f aca="false">IF(OR(E27="",E27=0),"",F27/E27)</f>
        <v/>
      </c>
      <c r="M27" s="20" t="str">
        <f aca="false">IF(OR(F27="",F27=0),"",D27/F27)</f>
        <v/>
      </c>
      <c r="N27" s="21" t="str">
        <f aca="false">IF(OR(E27="",E27=0,G27=""),"",G27/E27)</f>
        <v/>
      </c>
      <c r="O27" s="20" t="str">
        <f aca="false">IF(OR(G27="",G27=0),"",D27/G27)</f>
        <v/>
      </c>
      <c r="P27" s="20" t="str">
        <f aca="false">IF(OR(K27="",K27=0),"",D27/K27)</f>
        <v/>
      </c>
      <c r="Q27" s="22"/>
    </row>
    <row r="28" customFormat="false" ht="15" hidden="false" customHeight="false" outlineLevel="0" collapsed="false">
      <c r="A28" s="17"/>
      <c r="B28" s="18"/>
      <c r="C28" s="17"/>
      <c r="D28" s="19"/>
      <c r="E28" s="19"/>
      <c r="F28" s="19"/>
      <c r="G28" s="19"/>
      <c r="H28" s="19"/>
      <c r="I28" s="19"/>
      <c r="J28" s="19"/>
      <c r="K28" s="20" t="str">
        <f aca="false">IF(COUNT(H28:J28)=0,"",SUM(H28:J28))</f>
        <v/>
      </c>
      <c r="L28" s="21" t="str">
        <f aca="false">IF(OR(E28="",E28=0),"",F28/E28)</f>
        <v/>
      </c>
      <c r="M28" s="20" t="str">
        <f aca="false">IF(OR(F28="",F28=0),"",D28/F28)</f>
        <v/>
      </c>
      <c r="N28" s="21" t="str">
        <f aca="false">IF(OR(E28="",E28=0,G28=""),"",G28/E28)</f>
        <v/>
      </c>
      <c r="O28" s="20" t="str">
        <f aca="false">IF(OR(G28="",G28=0),"",D28/G28)</f>
        <v/>
      </c>
      <c r="P28" s="20" t="str">
        <f aca="false">IF(OR(K28="",K28=0),"",D28/K28)</f>
        <v/>
      </c>
      <c r="Q28" s="22"/>
    </row>
    <row r="29" customFormat="false" ht="15" hidden="false" customHeight="false" outlineLevel="0" collapsed="false">
      <c r="A29" s="17"/>
      <c r="B29" s="18"/>
      <c r="C29" s="17"/>
      <c r="D29" s="19"/>
      <c r="E29" s="19"/>
      <c r="F29" s="19"/>
      <c r="G29" s="19"/>
      <c r="H29" s="19"/>
      <c r="I29" s="19"/>
      <c r="J29" s="19"/>
      <c r="K29" s="20" t="str">
        <f aca="false">IF(COUNT(H29:J29)=0,"",SUM(H29:J29))</f>
        <v/>
      </c>
      <c r="L29" s="21" t="str">
        <f aca="false">IF(OR(E29="",E29=0),"",F29/E29)</f>
        <v/>
      </c>
      <c r="M29" s="20" t="str">
        <f aca="false">IF(OR(F29="",F29=0),"",D29/F29)</f>
        <v/>
      </c>
      <c r="N29" s="21" t="str">
        <f aca="false">IF(OR(E29="",E29=0,G29=""),"",G29/E29)</f>
        <v/>
      </c>
      <c r="O29" s="20" t="str">
        <f aca="false">IF(OR(G29="",G29=0),"",D29/G29)</f>
        <v/>
      </c>
      <c r="P29" s="20" t="str">
        <f aca="false">IF(OR(K29="",K29=0),"",D29/K29)</f>
        <v/>
      </c>
      <c r="Q29" s="22"/>
    </row>
    <row r="30" customFormat="false" ht="15" hidden="false" customHeight="false" outlineLevel="0" collapsed="false">
      <c r="A30" s="17"/>
      <c r="B30" s="18"/>
      <c r="C30" s="17"/>
      <c r="D30" s="19"/>
      <c r="E30" s="19"/>
      <c r="F30" s="19"/>
      <c r="G30" s="19"/>
      <c r="H30" s="19"/>
      <c r="I30" s="19"/>
      <c r="J30" s="19"/>
      <c r="K30" s="20" t="str">
        <f aca="false">IF(COUNT(H30:J30)=0,"",SUM(H30:J30))</f>
        <v/>
      </c>
      <c r="L30" s="21" t="str">
        <f aca="false">IF(OR(E30="",E30=0),"",F30/E30)</f>
        <v/>
      </c>
      <c r="M30" s="20" t="str">
        <f aca="false">IF(OR(F30="",F30=0),"",D30/F30)</f>
        <v/>
      </c>
      <c r="N30" s="21" t="str">
        <f aca="false">IF(OR(E30="",E30=0,G30=""),"",G30/E30)</f>
        <v/>
      </c>
      <c r="O30" s="20" t="str">
        <f aca="false">IF(OR(G30="",G30=0),"",D30/G30)</f>
        <v/>
      </c>
      <c r="P30" s="20" t="str">
        <f aca="false">IF(OR(K30="",K30=0),"",D30/K30)</f>
        <v/>
      </c>
      <c r="Q30" s="22"/>
    </row>
    <row r="31" customFormat="false" ht="15" hidden="false" customHeight="false" outlineLevel="0" collapsed="false">
      <c r="A31" s="17"/>
      <c r="B31" s="18"/>
      <c r="C31" s="17"/>
      <c r="D31" s="19"/>
      <c r="E31" s="19"/>
      <c r="F31" s="19"/>
      <c r="G31" s="19"/>
      <c r="H31" s="19"/>
      <c r="I31" s="19"/>
      <c r="J31" s="19"/>
      <c r="K31" s="20" t="str">
        <f aca="false">IF(COUNT(H31:J31)=0,"",SUM(H31:J31))</f>
        <v/>
      </c>
      <c r="L31" s="21" t="str">
        <f aca="false">IF(OR(E31="",E31=0),"",F31/E31)</f>
        <v/>
      </c>
      <c r="M31" s="20" t="str">
        <f aca="false">IF(OR(F31="",F31=0),"",D31/F31)</f>
        <v/>
      </c>
      <c r="N31" s="21" t="str">
        <f aca="false">IF(OR(E31="",E31=0,G31=""),"",G31/E31)</f>
        <v/>
      </c>
      <c r="O31" s="20" t="str">
        <f aca="false">IF(OR(G31="",G31=0),"",D31/G31)</f>
        <v/>
      </c>
      <c r="P31" s="20" t="str">
        <f aca="false">IF(OR(K31="",K31=0),"",D31/K31)</f>
        <v/>
      </c>
      <c r="Q31" s="22"/>
    </row>
    <row r="32" customFormat="false" ht="15" hidden="false" customHeight="false" outlineLevel="0" collapsed="false">
      <c r="A32" s="17"/>
      <c r="B32" s="18"/>
      <c r="C32" s="17"/>
      <c r="D32" s="19"/>
      <c r="E32" s="19"/>
      <c r="F32" s="19"/>
      <c r="G32" s="19"/>
      <c r="H32" s="19"/>
      <c r="I32" s="19"/>
      <c r="J32" s="19"/>
      <c r="K32" s="20" t="str">
        <f aca="false">IF(COUNT(H32:J32)=0,"",SUM(H32:J32))</f>
        <v/>
      </c>
      <c r="L32" s="21" t="str">
        <f aca="false">IF(OR(E32="",E32=0),"",F32/E32)</f>
        <v/>
      </c>
      <c r="M32" s="20" t="str">
        <f aca="false">IF(OR(F32="",F32=0),"",D32/F32)</f>
        <v/>
      </c>
      <c r="N32" s="21" t="str">
        <f aca="false">IF(OR(E32="",E32=0,G32=""),"",G32/E32)</f>
        <v/>
      </c>
      <c r="O32" s="20" t="str">
        <f aca="false">IF(OR(G32="",G32=0),"",D32/G32)</f>
        <v/>
      </c>
      <c r="P32" s="20" t="str">
        <f aca="false">IF(OR(K32="",K32=0),"",D32/K32)</f>
        <v/>
      </c>
      <c r="Q32" s="22"/>
    </row>
    <row r="33" customFormat="false" ht="15" hidden="false" customHeight="false" outlineLevel="0" collapsed="false">
      <c r="A33" s="17"/>
      <c r="B33" s="18"/>
      <c r="C33" s="17"/>
      <c r="D33" s="19"/>
      <c r="E33" s="19"/>
      <c r="F33" s="19"/>
      <c r="G33" s="19"/>
      <c r="H33" s="19"/>
      <c r="I33" s="19"/>
      <c r="J33" s="19"/>
      <c r="K33" s="20" t="str">
        <f aca="false">IF(COUNT(H33:J33)=0,"",SUM(H33:J33))</f>
        <v/>
      </c>
      <c r="L33" s="21" t="str">
        <f aca="false">IF(OR(E33="",E33=0),"",F33/E33)</f>
        <v/>
      </c>
      <c r="M33" s="20" t="str">
        <f aca="false">IF(OR(F33="",F33=0),"",D33/F33)</f>
        <v/>
      </c>
      <c r="N33" s="21" t="str">
        <f aca="false">IF(OR(E33="",E33=0,G33=""),"",G33/E33)</f>
        <v/>
      </c>
      <c r="O33" s="20" t="str">
        <f aca="false">IF(OR(G33="",G33=0),"",D33/G33)</f>
        <v/>
      </c>
      <c r="P33" s="20" t="str">
        <f aca="false">IF(OR(K33="",K33=0),"",D33/K33)</f>
        <v/>
      </c>
      <c r="Q33" s="22"/>
    </row>
    <row r="34" customFormat="false" ht="15" hidden="false" customHeight="false" outlineLevel="0" collapsed="false">
      <c r="A34" s="17"/>
      <c r="B34" s="18"/>
      <c r="C34" s="17"/>
      <c r="D34" s="19"/>
      <c r="E34" s="19"/>
      <c r="F34" s="19"/>
      <c r="G34" s="19"/>
      <c r="H34" s="19"/>
      <c r="I34" s="19"/>
      <c r="J34" s="19"/>
      <c r="K34" s="20" t="str">
        <f aca="false">IF(COUNT(H34:J34)=0,"",SUM(H34:J34))</f>
        <v/>
      </c>
      <c r="L34" s="21" t="str">
        <f aca="false">IF(OR(E34="",E34=0),"",F34/E34)</f>
        <v/>
      </c>
      <c r="M34" s="20" t="str">
        <f aca="false">IF(OR(F34="",F34=0),"",D34/F34)</f>
        <v/>
      </c>
      <c r="N34" s="21" t="str">
        <f aca="false">IF(OR(E34="",E34=0,G34=""),"",G34/E34)</f>
        <v/>
      </c>
      <c r="O34" s="20" t="str">
        <f aca="false">IF(OR(G34="",G34=0),"",D34/G34)</f>
        <v/>
      </c>
      <c r="P34" s="20" t="str">
        <f aca="false">IF(OR(K34="",K34=0),"",D34/K34)</f>
        <v/>
      </c>
      <c r="Q34" s="22"/>
    </row>
    <row r="35" customFormat="false" ht="15" hidden="false" customHeight="false" outlineLevel="0" collapsed="false">
      <c r="A35" s="17"/>
      <c r="B35" s="18"/>
      <c r="C35" s="17"/>
      <c r="D35" s="19"/>
      <c r="E35" s="19"/>
      <c r="F35" s="19"/>
      <c r="G35" s="19"/>
      <c r="H35" s="19"/>
      <c r="I35" s="19"/>
      <c r="J35" s="19"/>
      <c r="K35" s="20" t="str">
        <f aca="false">IF(COUNT(H35:J35)=0,"",SUM(H35:J35))</f>
        <v/>
      </c>
      <c r="L35" s="21" t="str">
        <f aca="false">IF(OR(E35="",E35=0),"",F35/E35)</f>
        <v/>
      </c>
      <c r="M35" s="20" t="str">
        <f aca="false">IF(OR(F35="",F35=0),"",D35/F35)</f>
        <v/>
      </c>
      <c r="N35" s="21" t="str">
        <f aca="false">IF(OR(E35="",E35=0,G35=""),"",G35/E35)</f>
        <v/>
      </c>
      <c r="O35" s="20" t="str">
        <f aca="false">IF(OR(G35="",G35=0),"",D35/G35)</f>
        <v/>
      </c>
      <c r="P35" s="20" t="str">
        <f aca="false">IF(OR(K35="",K35=0),"",D35/K35)</f>
        <v/>
      </c>
      <c r="Q35" s="22"/>
    </row>
    <row r="36" customFormat="false" ht="15" hidden="false" customHeight="false" outlineLevel="0" collapsed="false">
      <c r="A36" s="17"/>
      <c r="B36" s="18"/>
      <c r="C36" s="17"/>
      <c r="D36" s="19"/>
      <c r="E36" s="19"/>
      <c r="F36" s="19"/>
      <c r="G36" s="19"/>
      <c r="H36" s="19"/>
      <c r="I36" s="19"/>
      <c r="J36" s="19"/>
      <c r="K36" s="20" t="str">
        <f aca="false">IF(COUNT(H36:J36)=0,"",SUM(H36:J36))</f>
        <v/>
      </c>
      <c r="L36" s="21" t="str">
        <f aca="false">IF(OR(E36="",E36=0),"",F36/E36)</f>
        <v/>
      </c>
      <c r="M36" s="20" t="str">
        <f aca="false">IF(OR(F36="",F36=0),"",D36/F36)</f>
        <v/>
      </c>
      <c r="N36" s="21" t="str">
        <f aca="false">IF(OR(E36="",E36=0,G36=""),"",G36/E36)</f>
        <v/>
      </c>
      <c r="O36" s="20" t="str">
        <f aca="false">IF(OR(G36="",G36=0),"",D36/G36)</f>
        <v/>
      </c>
      <c r="P36" s="20" t="str">
        <f aca="false">IF(OR(K36="",K36=0),"",D36/K36)</f>
        <v/>
      </c>
      <c r="Q36" s="22"/>
    </row>
    <row r="37" customFormat="false" ht="15" hidden="false" customHeight="false" outlineLevel="0" collapsed="false">
      <c r="A37" s="17"/>
      <c r="B37" s="18"/>
      <c r="C37" s="17"/>
      <c r="D37" s="19"/>
      <c r="E37" s="19"/>
      <c r="F37" s="19"/>
      <c r="G37" s="19"/>
      <c r="H37" s="19"/>
      <c r="I37" s="19"/>
      <c r="J37" s="19"/>
      <c r="K37" s="20" t="str">
        <f aca="false">IF(COUNT(H37:J37)=0,"",SUM(H37:J37))</f>
        <v/>
      </c>
      <c r="L37" s="21" t="str">
        <f aca="false">IF(OR(E37="",E37=0),"",F37/E37)</f>
        <v/>
      </c>
      <c r="M37" s="20" t="str">
        <f aca="false">IF(OR(F37="",F37=0),"",D37/F37)</f>
        <v/>
      </c>
      <c r="N37" s="21" t="str">
        <f aca="false">IF(OR(E37="",E37=0,G37=""),"",G37/E37)</f>
        <v/>
      </c>
      <c r="O37" s="20" t="str">
        <f aca="false">IF(OR(G37="",G37=0),"",D37/G37)</f>
        <v/>
      </c>
      <c r="P37" s="20" t="str">
        <f aca="false">IF(OR(K37="",K37=0),"",D37/K37)</f>
        <v/>
      </c>
      <c r="Q37" s="22"/>
    </row>
    <row r="38" customFormat="false" ht="15" hidden="false" customHeight="false" outlineLevel="0" collapsed="false">
      <c r="A38" s="17"/>
      <c r="B38" s="18"/>
      <c r="C38" s="17"/>
      <c r="D38" s="19"/>
      <c r="E38" s="19"/>
      <c r="F38" s="19"/>
      <c r="G38" s="19"/>
      <c r="H38" s="19"/>
      <c r="I38" s="19"/>
      <c r="J38" s="19"/>
      <c r="K38" s="20" t="str">
        <f aca="false">IF(COUNT(H38:J38)=0,"",SUM(H38:J38))</f>
        <v/>
      </c>
      <c r="L38" s="21" t="str">
        <f aca="false">IF(OR(E38="",E38=0),"",F38/E38)</f>
        <v/>
      </c>
      <c r="M38" s="20" t="str">
        <f aca="false">IF(OR(F38="",F38=0),"",D38/F38)</f>
        <v/>
      </c>
      <c r="N38" s="21" t="str">
        <f aca="false">IF(OR(E38="",E38=0,G38=""),"",G38/E38)</f>
        <v/>
      </c>
      <c r="O38" s="20" t="str">
        <f aca="false">IF(OR(G38="",G38=0),"",D38/G38)</f>
        <v/>
      </c>
      <c r="P38" s="20" t="str">
        <f aca="false">IF(OR(K38="",K38=0),"",D38/K38)</f>
        <v/>
      </c>
      <c r="Q38" s="22"/>
    </row>
    <row r="39" customFormat="false" ht="15" hidden="false" customHeight="false" outlineLevel="0" collapsed="false">
      <c r="A39" s="17"/>
      <c r="B39" s="18"/>
      <c r="C39" s="17"/>
      <c r="D39" s="19"/>
      <c r="E39" s="19"/>
      <c r="F39" s="19"/>
      <c r="G39" s="19"/>
      <c r="H39" s="19"/>
      <c r="I39" s="19"/>
      <c r="J39" s="19"/>
      <c r="K39" s="20" t="str">
        <f aca="false">IF(COUNT(H39:J39)=0,"",SUM(H39:J39))</f>
        <v/>
      </c>
      <c r="L39" s="21" t="str">
        <f aca="false">IF(OR(E39="",E39=0),"",F39/E39)</f>
        <v/>
      </c>
      <c r="M39" s="20" t="str">
        <f aca="false">IF(OR(F39="",F39=0),"",D39/F39)</f>
        <v/>
      </c>
      <c r="N39" s="21" t="str">
        <f aca="false">IF(OR(E39="",E39=0,G39=""),"",G39/E39)</f>
        <v/>
      </c>
      <c r="O39" s="20" t="str">
        <f aca="false">IF(OR(G39="",G39=0),"",D39/G39)</f>
        <v/>
      </c>
      <c r="P39" s="20" t="str">
        <f aca="false">IF(OR(K39="",K39=0),"",D39/K39)</f>
        <v/>
      </c>
      <c r="Q39" s="22"/>
    </row>
    <row r="40" customFormat="false" ht="15" hidden="false" customHeight="false" outlineLevel="0" collapsed="false">
      <c r="A40" s="17"/>
      <c r="B40" s="18"/>
      <c r="C40" s="17"/>
      <c r="D40" s="19"/>
      <c r="E40" s="19"/>
      <c r="F40" s="19"/>
      <c r="G40" s="19"/>
      <c r="H40" s="19"/>
      <c r="I40" s="19"/>
      <c r="J40" s="19"/>
      <c r="K40" s="20" t="str">
        <f aca="false">IF(COUNT(H40:J40)=0,"",SUM(H40:J40))</f>
        <v/>
      </c>
      <c r="L40" s="21" t="str">
        <f aca="false">IF(OR(E40="",E40=0),"",F40/E40)</f>
        <v/>
      </c>
      <c r="M40" s="20" t="str">
        <f aca="false">IF(OR(F40="",F40=0),"",D40/F40)</f>
        <v/>
      </c>
      <c r="N40" s="21" t="str">
        <f aca="false">IF(OR(E40="",E40=0,G40=""),"",G40/E40)</f>
        <v/>
      </c>
      <c r="O40" s="20" t="str">
        <f aca="false">IF(OR(G40="",G40=0),"",D40/G40)</f>
        <v/>
      </c>
      <c r="P40" s="20" t="str">
        <f aca="false">IF(OR(K40="",K40=0),"",D40/K40)</f>
        <v/>
      </c>
      <c r="Q40" s="22"/>
    </row>
    <row r="41" customFormat="false" ht="15" hidden="false" customHeight="false" outlineLevel="0" collapsed="false">
      <c r="A41" s="17"/>
      <c r="B41" s="18"/>
      <c r="C41" s="17"/>
      <c r="D41" s="19"/>
      <c r="E41" s="19"/>
      <c r="F41" s="19"/>
      <c r="G41" s="19"/>
      <c r="H41" s="19"/>
      <c r="I41" s="19"/>
      <c r="J41" s="19"/>
      <c r="K41" s="20" t="str">
        <f aca="false">IF(COUNT(H41:J41)=0,"",SUM(H41:J41))</f>
        <v/>
      </c>
      <c r="L41" s="21" t="str">
        <f aca="false">IF(OR(E41="",E41=0),"",F41/E41)</f>
        <v/>
      </c>
      <c r="M41" s="20" t="str">
        <f aca="false">IF(OR(F41="",F41=0),"",D41/F41)</f>
        <v/>
      </c>
      <c r="N41" s="21" t="str">
        <f aca="false">IF(OR(E41="",E41=0,G41=""),"",G41/E41)</f>
        <v/>
      </c>
      <c r="O41" s="20" t="str">
        <f aca="false">IF(OR(G41="",G41=0),"",D41/G41)</f>
        <v/>
      </c>
      <c r="P41" s="20" t="str">
        <f aca="false">IF(OR(K41="",K41=0),"",D41/K41)</f>
        <v/>
      </c>
      <c r="Q41" s="22"/>
    </row>
    <row r="42" customFormat="false" ht="15" hidden="false" customHeight="false" outlineLevel="0" collapsed="false">
      <c r="A42" s="17"/>
      <c r="B42" s="18"/>
      <c r="C42" s="17"/>
      <c r="D42" s="19"/>
      <c r="E42" s="19"/>
      <c r="F42" s="19"/>
      <c r="G42" s="19"/>
      <c r="H42" s="19"/>
      <c r="I42" s="19"/>
      <c r="J42" s="19"/>
      <c r="K42" s="20" t="str">
        <f aca="false">IF(COUNT(H42:J42)=0,"",SUM(H42:J42))</f>
        <v/>
      </c>
      <c r="L42" s="21" t="str">
        <f aca="false">IF(OR(E42="",E42=0),"",F42/E42)</f>
        <v/>
      </c>
      <c r="M42" s="20" t="str">
        <f aca="false">IF(OR(F42="",F42=0),"",D42/F42)</f>
        <v/>
      </c>
      <c r="N42" s="21" t="str">
        <f aca="false">IF(OR(E42="",E42=0,G42=""),"",G42/E42)</f>
        <v/>
      </c>
      <c r="O42" s="20" t="str">
        <f aca="false">IF(OR(G42="",G42=0),"",D42/G42)</f>
        <v/>
      </c>
      <c r="P42" s="20" t="str">
        <f aca="false">IF(OR(K42="",K42=0),"",D42/K42)</f>
        <v/>
      </c>
      <c r="Q42" s="22"/>
    </row>
    <row r="43" customFormat="false" ht="15" hidden="false" customHeight="false" outlineLevel="0" collapsed="false">
      <c r="A43" s="17"/>
      <c r="B43" s="18"/>
      <c r="C43" s="17"/>
      <c r="D43" s="19"/>
      <c r="E43" s="19"/>
      <c r="F43" s="19"/>
      <c r="G43" s="19"/>
      <c r="H43" s="19"/>
      <c r="I43" s="19"/>
      <c r="J43" s="19"/>
      <c r="K43" s="20" t="str">
        <f aca="false">IF(COUNT(H43:J43)=0,"",SUM(H43:J43))</f>
        <v/>
      </c>
      <c r="L43" s="21" t="str">
        <f aca="false">IF(OR(E43="",E43=0),"",F43/E43)</f>
        <v/>
      </c>
      <c r="M43" s="20" t="str">
        <f aca="false">IF(OR(F43="",F43=0),"",D43/F43)</f>
        <v/>
      </c>
      <c r="N43" s="21" t="str">
        <f aca="false">IF(OR(E43="",E43=0,G43=""),"",G43/E43)</f>
        <v/>
      </c>
      <c r="O43" s="20" t="str">
        <f aca="false">IF(OR(G43="",G43=0),"",D43/G43)</f>
        <v/>
      </c>
      <c r="P43" s="20" t="str">
        <f aca="false">IF(OR(K43="",K43=0),"",D43/K43)</f>
        <v/>
      </c>
      <c r="Q43" s="22"/>
    </row>
    <row r="44" customFormat="false" ht="15" hidden="false" customHeight="false" outlineLevel="0" collapsed="false">
      <c r="A44" s="17"/>
      <c r="B44" s="18"/>
      <c r="C44" s="17"/>
      <c r="D44" s="19"/>
      <c r="E44" s="19"/>
      <c r="F44" s="19"/>
      <c r="G44" s="19"/>
      <c r="H44" s="19"/>
      <c r="I44" s="19"/>
      <c r="J44" s="19"/>
      <c r="K44" s="20" t="str">
        <f aca="false">IF(COUNT(H44:J44)=0,"",SUM(H44:J44))</f>
        <v/>
      </c>
      <c r="L44" s="21" t="str">
        <f aca="false">IF(OR(E44="",E44=0),"",F44/E44)</f>
        <v/>
      </c>
      <c r="M44" s="20" t="str">
        <f aca="false">IF(OR(F44="",F44=0),"",D44/F44)</f>
        <v/>
      </c>
      <c r="N44" s="21" t="str">
        <f aca="false">IF(OR(E44="",E44=0,G44=""),"",G44/E44)</f>
        <v/>
      </c>
      <c r="O44" s="20" t="str">
        <f aca="false">IF(OR(G44="",G44=0),"",D44/G44)</f>
        <v/>
      </c>
      <c r="P44" s="20" t="str">
        <f aca="false">IF(OR(K44="",K44=0),"",D44/K44)</f>
        <v/>
      </c>
      <c r="Q44" s="22"/>
    </row>
    <row r="45" customFormat="false" ht="15" hidden="false" customHeight="false" outlineLevel="0" collapsed="false">
      <c r="A45" s="17"/>
      <c r="B45" s="18"/>
      <c r="C45" s="17"/>
      <c r="D45" s="19"/>
      <c r="E45" s="19"/>
      <c r="F45" s="19"/>
      <c r="G45" s="19"/>
      <c r="H45" s="19"/>
      <c r="I45" s="19"/>
      <c r="J45" s="19"/>
      <c r="K45" s="20" t="str">
        <f aca="false">IF(COUNT(H45:J45)=0,"",SUM(H45:J45))</f>
        <v/>
      </c>
      <c r="L45" s="21" t="str">
        <f aca="false">IF(OR(E45="",E45=0),"",F45/E45)</f>
        <v/>
      </c>
      <c r="M45" s="20" t="str">
        <f aca="false">IF(OR(F45="",F45=0),"",D45/F45)</f>
        <v/>
      </c>
      <c r="N45" s="21" t="str">
        <f aca="false">IF(OR(E45="",E45=0,G45=""),"",G45/E45)</f>
        <v/>
      </c>
      <c r="O45" s="20" t="str">
        <f aca="false">IF(OR(G45="",G45=0),"",D45/G45)</f>
        <v/>
      </c>
      <c r="P45" s="20" t="str">
        <f aca="false">IF(OR(K45="",K45=0),"",D45/K45)</f>
        <v/>
      </c>
      <c r="Q45" s="22"/>
    </row>
    <row r="46" customFormat="false" ht="15" hidden="false" customHeight="false" outlineLevel="0" collapsed="false">
      <c r="A46" s="17"/>
      <c r="B46" s="18"/>
      <c r="C46" s="17"/>
      <c r="D46" s="19"/>
      <c r="E46" s="19"/>
      <c r="F46" s="19"/>
      <c r="G46" s="19"/>
      <c r="H46" s="19"/>
      <c r="I46" s="19"/>
      <c r="J46" s="19"/>
      <c r="K46" s="20" t="str">
        <f aca="false">IF(COUNT(H46:J46)=0,"",SUM(H46:J46))</f>
        <v/>
      </c>
      <c r="L46" s="21" t="str">
        <f aca="false">IF(OR(E46="",E46=0),"",F46/E46)</f>
        <v/>
      </c>
      <c r="M46" s="20" t="str">
        <f aca="false">IF(OR(F46="",F46=0),"",D46/F46)</f>
        <v/>
      </c>
      <c r="N46" s="21" t="str">
        <f aca="false">IF(OR(E46="",E46=0,G46=""),"",G46/E46)</f>
        <v/>
      </c>
      <c r="O46" s="20" t="str">
        <f aca="false">IF(OR(G46="",G46=0),"",D46/G46)</f>
        <v/>
      </c>
      <c r="P46" s="20" t="str">
        <f aca="false">IF(OR(K46="",K46=0),"",D46/K46)</f>
        <v/>
      </c>
      <c r="Q46" s="22"/>
    </row>
    <row r="47" customFormat="false" ht="15" hidden="false" customHeight="false" outlineLevel="0" collapsed="false">
      <c r="A47" s="17"/>
      <c r="B47" s="18"/>
      <c r="C47" s="17"/>
      <c r="D47" s="19"/>
      <c r="E47" s="19"/>
      <c r="F47" s="19"/>
      <c r="G47" s="19"/>
      <c r="H47" s="19"/>
      <c r="I47" s="19"/>
      <c r="J47" s="19"/>
      <c r="K47" s="20" t="str">
        <f aca="false">IF(COUNT(H47:J47)=0,"",SUM(H47:J47))</f>
        <v/>
      </c>
      <c r="L47" s="21" t="str">
        <f aca="false">IF(OR(E47="",E47=0),"",F47/E47)</f>
        <v/>
      </c>
      <c r="M47" s="20" t="str">
        <f aca="false">IF(OR(F47="",F47=0),"",D47/F47)</f>
        <v/>
      </c>
      <c r="N47" s="21" t="str">
        <f aca="false">IF(OR(E47="",E47=0,G47=""),"",G47/E47)</f>
        <v/>
      </c>
      <c r="O47" s="20" t="str">
        <f aca="false">IF(OR(G47="",G47=0),"",D47/G47)</f>
        <v/>
      </c>
      <c r="P47" s="20" t="str">
        <f aca="false">IF(OR(K47="",K47=0),"",D47/K47)</f>
        <v/>
      </c>
      <c r="Q47" s="22"/>
    </row>
    <row r="48" customFormat="false" ht="15" hidden="false" customHeight="false" outlineLevel="0" collapsed="false">
      <c r="A48" s="17"/>
      <c r="B48" s="18"/>
      <c r="C48" s="17"/>
      <c r="D48" s="19"/>
      <c r="E48" s="19"/>
      <c r="F48" s="19"/>
      <c r="G48" s="19"/>
      <c r="H48" s="19"/>
      <c r="I48" s="19"/>
      <c r="J48" s="19"/>
      <c r="K48" s="20" t="str">
        <f aca="false">IF(COUNT(H48:J48)=0,"",SUM(H48:J48))</f>
        <v/>
      </c>
      <c r="L48" s="21" t="str">
        <f aca="false">IF(OR(E48="",E48=0),"",F48/E48)</f>
        <v/>
      </c>
      <c r="M48" s="20" t="str">
        <f aca="false">IF(OR(F48="",F48=0),"",D48/F48)</f>
        <v/>
      </c>
      <c r="N48" s="21" t="str">
        <f aca="false">IF(OR(E48="",E48=0,G48=""),"",G48/E48)</f>
        <v/>
      </c>
      <c r="O48" s="20" t="str">
        <f aca="false">IF(OR(G48="",G48=0),"",D48/G48)</f>
        <v/>
      </c>
      <c r="P48" s="20" t="str">
        <f aca="false">IF(OR(K48="",K48=0),"",D48/K48)</f>
        <v/>
      </c>
      <c r="Q48" s="22"/>
    </row>
    <row r="49" customFormat="false" ht="15" hidden="false" customHeight="false" outlineLevel="0" collapsed="false">
      <c r="A49" s="17"/>
      <c r="B49" s="18"/>
      <c r="C49" s="17"/>
      <c r="D49" s="19"/>
      <c r="E49" s="19"/>
      <c r="F49" s="19"/>
      <c r="G49" s="19"/>
      <c r="H49" s="19"/>
      <c r="I49" s="19"/>
      <c r="J49" s="19"/>
      <c r="K49" s="20" t="str">
        <f aca="false">IF(COUNT(H49:J49)=0,"",SUM(H49:J49))</f>
        <v/>
      </c>
      <c r="L49" s="21" t="str">
        <f aca="false">IF(OR(E49="",E49=0),"",F49/E49)</f>
        <v/>
      </c>
      <c r="M49" s="20" t="str">
        <f aca="false">IF(OR(F49="",F49=0),"",D49/F49)</f>
        <v/>
      </c>
      <c r="N49" s="21" t="str">
        <f aca="false">IF(OR(E49="",E49=0,G49=""),"",G49/E49)</f>
        <v/>
      </c>
      <c r="O49" s="20" t="str">
        <f aca="false">IF(OR(G49="",G49=0),"",D49/G49)</f>
        <v/>
      </c>
      <c r="P49" s="20" t="str">
        <f aca="false">IF(OR(K49="",K49=0),"",D49/K49)</f>
        <v/>
      </c>
      <c r="Q49" s="22"/>
    </row>
    <row r="50" customFormat="false" ht="15" hidden="false" customHeight="false" outlineLevel="0" collapsed="false">
      <c r="A50" s="17"/>
      <c r="B50" s="18"/>
      <c r="C50" s="17"/>
      <c r="D50" s="19"/>
      <c r="E50" s="19"/>
      <c r="F50" s="19"/>
      <c r="G50" s="19"/>
      <c r="H50" s="19"/>
      <c r="I50" s="19"/>
      <c r="J50" s="19"/>
      <c r="K50" s="20" t="str">
        <f aca="false">IF(COUNT(H50:J50)=0,"",SUM(H50:J50))</f>
        <v/>
      </c>
      <c r="L50" s="21" t="str">
        <f aca="false">IF(OR(E50="",E50=0),"",F50/E50)</f>
        <v/>
      </c>
      <c r="M50" s="20" t="str">
        <f aca="false">IF(OR(F50="",F50=0),"",D50/F50)</f>
        <v/>
      </c>
      <c r="N50" s="21" t="str">
        <f aca="false">IF(OR(E50="",E50=0,G50=""),"",G50/E50)</f>
        <v/>
      </c>
      <c r="O50" s="20" t="str">
        <f aca="false">IF(OR(G50="",G50=0),"",D50/G50)</f>
        <v/>
      </c>
      <c r="P50" s="20" t="str">
        <f aca="false">IF(OR(K50="",K50=0),"",D50/K50)</f>
        <v/>
      </c>
      <c r="Q50" s="22"/>
    </row>
    <row r="51" customFormat="false" ht="15" hidden="false" customHeight="false" outlineLevel="0" collapsed="false">
      <c r="A51" s="17"/>
      <c r="B51" s="18"/>
      <c r="C51" s="17"/>
      <c r="D51" s="19"/>
      <c r="E51" s="19"/>
      <c r="F51" s="19"/>
      <c r="G51" s="19"/>
      <c r="H51" s="19"/>
      <c r="I51" s="19"/>
      <c r="J51" s="19"/>
      <c r="K51" s="20" t="str">
        <f aca="false">IF(COUNT(H51:J51)=0,"",SUM(H51:J51))</f>
        <v/>
      </c>
      <c r="L51" s="21" t="str">
        <f aca="false">IF(OR(E51="",E51=0),"",F51/E51)</f>
        <v/>
      </c>
      <c r="M51" s="20" t="str">
        <f aca="false">IF(OR(F51="",F51=0),"",D51/F51)</f>
        <v/>
      </c>
      <c r="N51" s="21" t="str">
        <f aca="false">IF(OR(E51="",E51=0,G51=""),"",G51/E51)</f>
        <v/>
      </c>
      <c r="O51" s="20" t="str">
        <f aca="false">IF(OR(G51="",G51=0),"",D51/G51)</f>
        <v/>
      </c>
      <c r="P51" s="20" t="str">
        <f aca="false">IF(OR(K51="",K51=0),"",D51/K51)</f>
        <v/>
      </c>
      <c r="Q51" s="22"/>
    </row>
    <row r="52" customFormat="false" ht="15" hidden="false" customHeight="false" outlineLevel="0" collapsed="false">
      <c r="A52" s="17"/>
      <c r="B52" s="18"/>
      <c r="C52" s="17"/>
      <c r="D52" s="19"/>
      <c r="E52" s="19"/>
      <c r="F52" s="19"/>
      <c r="G52" s="19"/>
      <c r="H52" s="19"/>
      <c r="I52" s="19"/>
      <c r="J52" s="19"/>
      <c r="K52" s="20" t="str">
        <f aca="false">IF(COUNT(H52:J52)=0,"",SUM(H52:J52))</f>
        <v/>
      </c>
      <c r="L52" s="21" t="str">
        <f aca="false">IF(OR(E52="",E52=0),"",F52/E52)</f>
        <v/>
      </c>
      <c r="M52" s="20" t="str">
        <f aca="false">IF(OR(F52="",F52=0),"",D52/F52)</f>
        <v/>
      </c>
      <c r="N52" s="21" t="str">
        <f aca="false">IF(OR(E52="",E52=0,G52=""),"",G52/E52)</f>
        <v/>
      </c>
      <c r="O52" s="20" t="str">
        <f aca="false">IF(OR(G52="",G52=0),"",D52/G52)</f>
        <v/>
      </c>
      <c r="P52" s="20" t="str">
        <f aca="false">IF(OR(K52="",K52=0),"",D52/K52)</f>
        <v/>
      </c>
      <c r="Q52" s="22"/>
    </row>
    <row r="53" customFormat="false" ht="15" hidden="false" customHeight="false" outlineLevel="0" collapsed="false">
      <c r="A53" s="17"/>
      <c r="B53" s="18"/>
      <c r="C53" s="17"/>
      <c r="D53" s="19"/>
      <c r="E53" s="19"/>
      <c r="F53" s="19"/>
      <c r="G53" s="19"/>
      <c r="H53" s="19"/>
      <c r="I53" s="19"/>
      <c r="J53" s="19"/>
      <c r="K53" s="20" t="str">
        <f aca="false">IF(COUNT(H53:J53)=0,"",SUM(H53:J53))</f>
        <v/>
      </c>
      <c r="L53" s="21" t="str">
        <f aca="false">IF(OR(E53="",E53=0),"",F53/E53)</f>
        <v/>
      </c>
      <c r="M53" s="20" t="str">
        <f aca="false">IF(OR(F53="",F53=0),"",D53/F53)</f>
        <v/>
      </c>
      <c r="N53" s="21" t="str">
        <f aca="false">IF(OR(E53="",E53=0,G53=""),"",G53/E53)</f>
        <v/>
      </c>
      <c r="O53" s="20" t="str">
        <f aca="false">IF(OR(G53="",G53=0),"",D53/G53)</f>
        <v/>
      </c>
      <c r="P53" s="20" t="str">
        <f aca="false">IF(OR(K53="",K53=0),"",D53/K53)</f>
        <v/>
      </c>
      <c r="Q53" s="22"/>
    </row>
    <row r="54" customFormat="false" ht="15" hidden="false" customHeight="false" outlineLevel="0" collapsed="false">
      <c r="A54" s="17"/>
      <c r="B54" s="18"/>
      <c r="C54" s="17"/>
      <c r="D54" s="19"/>
      <c r="E54" s="19"/>
      <c r="F54" s="19"/>
      <c r="G54" s="19"/>
      <c r="H54" s="19"/>
      <c r="I54" s="19"/>
      <c r="J54" s="19"/>
      <c r="K54" s="20" t="str">
        <f aca="false">IF(COUNT(H54:J54)=0,"",SUM(H54:J54))</f>
        <v/>
      </c>
      <c r="L54" s="21" t="str">
        <f aca="false">IF(OR(E54="",E54=0),"",F54/E54)</f>
        <v/>
      </c>
      <c r="M54" s="20" t="str">
        <f aca="false">IF(OR(F54="",F54=0),"",D54/F54)</f>
        <v/>
      </c>
      <c r="N54" s="21" t="str">
        <f aca="false">IF(OR(E54="",E54=0,G54=""),"",G54/E54)</f>
        <v/>
      </c>
      <c r="O54" s="20" t="str">
        <f aca="false">IF(OR(G54="",G54=0),"",D54/G54)</f>
        <v/>
      </c>
      <c r="P54" s="20" t="str">
        <f aca="false">IF(OR(K54="",K54=0),"",D54/K54)</f>
        <v/>
      </c>
      <c r="Q54" s="22"/>
    </row>
    <row r="55" customFormat="false" ht="15" hidden="false" customHeight="false" outlineLevel="0" collapsed="false">
      <c r="A55" s="17"/>
      <c r="B55" s="18"/>
      <c r="C55" s="17"/>
      <c r="D55" s="19"/>
      <c r="E55" s="19"/>
      <c r="F55" s="19"/>
      <c r="G55" s="19"/>
      <c r="H55" s="19"/>
      <c r="I55" s="19"/>
      <c r="J55" s="19"/>
      <c r="K55" s="20" t="str">
        <f aca="false">IF(COUNT(H55:J55)=0,"",SUM(H55:J55))</f>
        <v/>
      </c>
      <c r="L55" s="21" t="str">
        <f aca="false">IF(OR(E55="",E55=0),"",F55/E55)</f>
        <v/>
      </c>
      <c r="M55" s="20" t="str">
        <f aca="false">IF(OR(F55="",F55=0),"",D55/F55)</f>
        <v/>
      </c>
      <c r="N55" s="21" t="str">
        <f aca="false">IF(OR(E55="",E55=0,G55=""),"",G55/E55)</f>
        <v/>
      </c>
      <c r="O55" s="20" t="str">
        <f aca="false">IF(OR(G55="",G55=0),"",D55/G55)</f>
        <v/>
      </c>
      <c r="P55" s="20" t="str">
        <f aca="false">IF(OR(K55="",K55=0),"",D55/K55)</f>
        <v/>
      </c>
      <c r="Q55" s="22"/>
    </row>
    <row r="56" customFormat="false" ht="15" hidden="false" customHeight="false" outlineLevel="0" collapsed="false">
      <c r="A56" s="17"/>
      <c r="B56" s="18"/>
      <c r="C56" s="17"/>
      <c r="D56" s="19"/>
      <c r="E56" s="19"/>
      <c r="F56" s="19"/>
      <c r="G56" s="19"/>
      <c r="H56" s="19"/>
      <c r="I56" s="19"/>
      <c r="J56" s="19"/>
      <c r="K56" s="20" t="str">
        <f aca="false">IF(COUNT(H56:J56)=0,"",SUM(H56:J56))</f>
        <v/>
      </c>
      <c r="L56" s="21" t="str">
        <f aca="false">IF(OR(E56="",E56=0),"",F56/E56)</f>
        <v/>
      </c>
      <c r="M56" s="20" t="str">
        <f aca="false">IF(OR(F56="",F56=0),"",D56/F56)</f>
        <v/>
      </c>
      <c r="N56" s="21" t="str">
        <f aca="false">IF(OR(E56="",E56=0,G56=""),"",G56/E56)</f>
        <v/>
      </c>
      <c r="O56" s="20" t="str">
        <f aca="false">IF(OR(G56="",G56=0),"",D56/G56)</f>
        <v/>
      </c>
      <c r="P56" s="20" t="str">
        <f aca="false">IF(OR(K56="",K56=0),"",D56/K56)</f>
        <v/>
      </c>
      <c r="Q56" s="22"/>
    </row>
    <row r="57" customFormat="false" ht="15" hidden="false" customHeight="false" outlineLevel="0" collapsed="false">
      <c r="A57" s="17"/>
      <c r="B57" s="18"/>
      <c r="C57" s="17"/>
      <c r="D57" s="19"/>
      <c r="E57" s="19"/>
      <c r="F57" s="19"/>
      <c r="G57" s="19"/>
      <c r="H57" s="19"/>
      <c r="I57" s="19"/>
      <c r="J57" s="19"/>
      <c r="K57" s="20" t="str">
        <f aca="false">IF(COUNT(H57:J57)=0,"",SUM(H57:J57))</f>
        <v/>
      </c>
      <c r="L57" s="21" t="str">
        <f aca="false">IF(OR(E57="",E57=0),"",F57/E57)</f>
        <v/>
      </c>
      <c r="M57" s="20" t="str">
        <f aca="false">IF(OR(F57="",F57=0),"",D57/F57)</f>
        <v/>
      </c>
      <c r="N57" s="21" t="str">
        <f aca="false">IF(OR(E57="",E57=0,G57=""),"",G57/E57)</f>
        <v/>
      </c>
      <c r="O57" s="20" t="str">
        <f aca="false">IF(OR(G57="",G57=0),"",D57/G57)</f>
        <v/>
      </c>
      <c r="P57" s="20" t="str">
        <f aca="false">IF(OR(K57="",K57=0),"",D57/K57)</f>
        <v/>
      </c>
      <c r="Q57" s="22"/>
    </row>
    <row r="58" customFormat="false" ht="15" hidden="false" customHeight="false" outlineLevel="0" collapsed="false">
      <c r="A58" s="17"/>
      <c r="B58" s="18"/>
      <c r="C58" s="17"/>
      <c r="D58" s="19"/>
      <c r="E58" s="19"/>
      <c r="F58" s="19"/>
      <c r="G58" s="19"/>
      <c r="H58" s="19"/>
      <c r="I58" s="19"/>
      <c r="J58" s="19"/>
      <c r="K58" s="20" t="str">
        <f aca="false">IF(COUNT(H58:J58)=0,"",SUM(H58:J58))</f>
        <v/>
      </c>
      <c r="L58" s="21" t="str">
        <f aca="false">IF(OR(E58="",E58=0),"",F58/E58)</f>
        <v/>
      </c>
      <c r="M58" s="20" t="str">
        <f aca="false">IF(OR(F58="",F58=0),"",D58/F58)</f>
        <v/>
      </c>
      <c r="N58" s="21" t="str">
        <f aca="false">IF(OR(E58="",E58=0,G58=""),"",G58/E58)</f>
        <v/>
      </c>
      <c r="O58" s="20" t="str">
        <f aca="false">IF(OR(G58="",G58=0),"",D58/G58)</f>
        <v/>
      </c>
      <c r="P58" s="20" t="str">
        <f aca="false">IF(OR(K58="",K58=0),"",D58/K58)</f>
        <v/>
      </c>
      <c r="Q58" s="22"/>
    </row>
    <row r="59" customFormat="false" ht="15" hidden="false" customHeight="false" outlineLevel="0" collapsed="false">
      <c r="A59" s="17"/>
      <c r="B59" s="18"/>
      <c r="C59" s="17"/>
      <c r="D59" s="19"/>
      <c r="E59" s="19"/>
      <c r="F59" s="19"/>
      <c r="G59" s="19"/>
      <c r="H59" s="19"/>
      <c r="I59" s="19"/>
      <c r="J59" s="19"/>
      <c r="K59" s="20" t="str">
        <f aca="false">IF(COUNT(H59:J59)=0,"",SUM(H59:J59))</f>
        <v/>
      </c>
      <c r="L59" s="21" t="str">
        <f aca="false">IF(OR(E59="",E59=0),"",F59/E59)</f>
        <v/>
      </c>
      <c r="M59" s="20" t="str">
        <f aca="false">IF(OR(F59="",F59=0),"",D59/F59)</f>
        <v/>
      </c>
      <c r="N59" s="21" t="str">
        <f aca="false">IF(OR(E59="",E59=0,G59=""),"",G59/E59)</f>
        <v/>
      </c>
      <c r="O59" s="20" t="str">
        <f aca="false">IF(OR(G59="",G59=0),"",D59/G59)</f>
        <v/>
      </c>
      <c r="P59" s="20" t="str">
        <f aca="false">IF(OR(K59="",K59=0),"",D59/K59)</f>
        <v/>
      </c>
      <c r="Q59" s="22"/>
    </row>
    <row r="60" customFormat="false" ht="15" hidden="false" customHeight="false" outlineLevel="0" collapsed="false">
      <c r="A60" s="17"/>
      <c r="B60" s="18"/>
      <c r="C60" s="17"/>
      <c r="D60" s="19"/>
      <c r="E60" s="19"/>
      <c r="F60" s="19"/>
      <c r="G60" s="19"/>
      <c r="H60" s="19"/>
      <c r="I60" s="19"/>
      <c r="J60" s="19"/>
      <c r="K60" s="20" t="str">
        <f aca="false">IF(COUNT(H60:J60)=0,"",SUM(H60:J60))</f>
        <v/>
      </c>
      <c r="L60" s="21" t="str">
        <f aca="false">IF(OR(E60="",E60=0),"",F60/E60)</f>
        <v/>
      </c>
      <c r="M60" s="20" t="str">
        <f aca="false">IF(OR(F60="",F60=0),"",D60/F60)</f>
        <v/>
      </c>
      <c r="N60" s="21" t="str">
        <f aca="false">IF(OR(E60="",E60=0,G60=""),"",G60/E60)</f>
        <v/>
      </c>
      <c r="O60" s="20" t="str">
        <f aca="false">IF(OR(G60="",G60=0),"",D60/G60)</f>
        <v/>
      </c>
      <c r="P60" s="20" t="str">
        <f aca="false">IF(OR(K60="",K60=0),"",D60/K60)</f>
        <v/>
      </c>
      <c r="Q60" s="22"/>
    </row>
    <row r="61" customFormat="false" ht="15" hidden="false" customHeight="false" outlineLevel="0" collapsed="false">
      <c r="A61" s="17"/>
      <c r="B61" s="18"/>
      <c r="C61" s="17"/>
      <c r="D61" s="19"/>
      <c r="E61" s="19"/>
      <c r="F61" s="19"/>
      <c r="G61" s="19"/>
      <c r="H61" s="19"/>
      <c r="I61" s="19"/>
      <c r="J61" s="19"/>
      <c r="K61" s="20" t="str">
        <f aca="false">IF(COUNT(H61:J61)=0,"",SUM(H61:J61))</f>
        <v/>
      </c>
      <c r="L61" s="21" t="str">
        <f aca="false">IF(OR(E61="",E61=0),"",F61/E61)</f>
        <v/>
      </c>
      <c r="M61" s="20" t="str">
        <f aca="false">IF(OR(F61="",F61=0),"",D61/F61)</f>
        <v/>
      </c>
      <c r="N61" s="21" t="str">
        <f aca="false">IF(OR(E61="",E61=0,G61=""),"",G61/E61)</f>
        <v/>
      </c>
      <c r="O61" s="20" t="str">
        <f aca="false">IF(OR(G61="",G61=0),"",D61/G61)</f>
        <v/>
      </c>
      <c r="P61" s="20" t="str">
        <f aca="false">IF(OR(K61="",K61=0),"",D61/K61)</f>
        <v/>
      </c>
      <c r="Q61" s="22"/>
    </row>
    <row r="62" customFormat="false" ht="15" hidden="false" customHeight="false" outlineLevel="0" collapsed="false">
      <c r="A62" s="17"/>
      <c r="B62" s="18"/>
      <c r="C62" s="17"/>
      <c r="D62" s="19"/>
      <c r="E62" s="19"/>
      <c r="F62" s="19"/>
      <c r="G62" s="19"/>
      <c r="H62" s="19"/>
      <c r="I62" s="19"/>
      <c r="J62" s="19"/>
      <c r="K62" s="20" t="str">
        <f aca="false">IF(COUNT(H62:J62)=0,"",SUM(H62:J62))</f>
        <v/>
      </c>
      <c r="L62" s="21" t="str">
        <f aca="false">IF(OR(E62="",E62=0),"",F62/E62)</f>
        <v/>
      </c>
      <c r="M62" s="20" t="str">
        <f aca="false">IF(OR(F62="",F62=0),"",D62/F62)</f>
        <v/>
      </c>
      <c r="N62" s="21" t="str">
        <f aca="false">IF(OR(E62="",E62=0,G62=""),"",G62/E62)</f>
        <v/>
      </c>
      <c r="O62" s="20" t="str">
        <f aca="false">IF(OR(G62="",G62=0),"",D62/G62)</f>
        <v/>
      </c>
      <c r="P62" s="20" t="str">
        <f aca="false">IF(OR(K62="",K62=0),"",D62/K62)</f>
        <v/>
      </c>
      <c r="Q62" s="22"/>
    </row>
    <row r="63" customFormat="false" ht="15" hidden="false" customHeight="false" outlineLevel="0" collapsed="false">
      <c r="A63" s="17"/>
      <c r="B63" s="18"/>
      <c r="C63" s="17"/>
      <c r="D63" s="19"/>
      <c r="E63" s="19"/>
      <c r="F63" s="19"/>
      <c r="G63" s="19"/>
      <c r="H63" s="19"/>
      <c r="I63" s="19"/>
      <c r="J63" s="19"/>
      <c r="K63" s="20" t="str">
        <f aca="false">IF(COUNT(H63:J63)=0,"",SUM(H63:J63))</f>
        <v/>
      </c>
      <c r="L63" s="21" t="str">
        <f aca="false">IF(OR(E63="",E63=0),"",F63/E63)</f>
        <v/>
      </c>
      <c r="M63" s="20" t="str">
        <f aca="false">IF(OR(F63="",F63=0),"",D63/F63)</f>
        <v/>
      </c>
      <c r="N63" s="21" t="str">
        <f aca="false">IF(OR(E63="",E63=0,G63=""),"",G63/E63)</f>
        <v/>
      </c>
      <c r="O63" s="20" t="str">
        <f aca="false">IF(OR(G63="",G63=0),"",D63/G63)</f>
        <v/>
      </c>
      <c r="P63" s="20" t="str">
        <f aca="false">IF(OR(K63="",K63=0),"",D63/K63)</f>
        <v/>
      </c>
      <c r="Q63" s="22"/>
    </row>
    <row r="64" customFormat="false" ht="15" hidden="false" customHeight="false" outlineLevel="0" collapsed="false">
      <c r="A64" s="17"/>
      <c r="B64" s="18"/>
      <c r="C64" s="17"/>
      <c r="D64" s="19"/>
      <c r="E64" s="19"/>
      <c r="F64" s="19"/>
      <c r="G64" s="19"/>
      <c r="H64" s="19"/>
      <c r="I64" s="19"/>
      <c r="J64" s="19"/>
      <c r="K64" s="20" t="str">
        <f aca="false">IF(COUNT(H64:J64)=0,"",SUM(H64:J64))</f>
        <v/>
      </c>
      <c r="L64" s="21" t="str">
        <f aca="false">IF(OR(E64="",E64=0),"",F64/E64)</f>
        <v/>
      </c>
      <c r="M64" s="20" t="str">
        <f aca="false">IF(OR(F64="",F64=0),"",D64/F64)</f>
        <v/>
      </c>
      <c r="N64" s="21" t="str">
        <f aca="false">IF(OR(E64="",E64=0,G64=""),"",G64/E64)</f>
        <v/>
      </c>
      <c r="O64" s="20" t="str">
        <f aca="false">IF(OR(G64="",G64=0),"",D64/G64)</f>
        <v/>
      </c>
      <c r="P64" s="20" t="str">
        <f aca="false">IF(OR(K64="",K64=0),"",D64/K64)</f>
        <v/>
      </c>
      <c r="Q64" s="22"/>
    </row>
    <row r="66" customFormat="false" ht="15" hidden="false" customHeight="false" outlineLevel="0" collapsed="false">
      <c r="A66" s="2" t="s">
        <v>115</v>
      </c>
    </row>
  </sheetData>
  <dataValidations count="1">
    <dataValidation allowBlank="true" errorStyle="stop" operator="between" showDropDown="false" showErrorMessage="false" showInputMessage="false" sqref="B5:B64" type="list">
      <formula1>"검색광고,유튜브 인스트림,유튜브 알고리즘(디맨드젠),유튜브 기타,기타"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5" min="14" style="0" width="13"/>
  </cols>
  <sheetData>
    <row r="1" customFormat="false" ht="17.35" hidden="false" customHeight="false" outlineLevel="0" collapsed="false">
      <c r="A1" s="8" t="s">
        <v>116</v>
      </c>
    </row>
    <row r="2" customFormat="false" ht="15" hidden="false" customHeight="false" outlineLevel="0" collapsed="false">
      <c r="A2" s="2" t="s">
        <v>117</v>
      </c>
    </row>
    <row r="3" customFormat="false" ht="15" hidden="false" customHeight="false" outlineLevel="0" collapsed="false">
      <c r="A3" s="5" t="s">
        <v>118</v>
      </c>
      <c r="C3" s="23" t="n">
        <v>1500000</v>
      </c>
      <c r="D3" s="24" t="s">
        <v>119</v>
      </c>
    </row>
    <row r="5" customFormat="false" ht="48" hidden="false" customHeight="true" outlineLevel="0" collapsed="false">
      <c r="A5" s="10" t="s">
        <v>91</v>
      </c>
      <c r="B5" s="10" t="s">
        <v>120</v>
      </c>
      <c r="C5" s="10" t="s">
        <v>121</v>
      </c>
      <c r="D5" s="10" t="s">
        <v>122</v>
      </c>
      <c r="E5" s="10" t="s">
        <v>123</v>
      </c>
      <c r="F5" s="10" t="s">
        <v>124</v>
      </c>
      <c r="G5" s="10" t="s">
        <v>101</v>
      </c>
      <c r="H5" s="10" t="s">
        <v>106</v>
      </c>
      <c r="I5" s="10" t="s">
        <v>125</v>
      </c>
      <c r="J5" s="10" t="s">
        <v>126</v>
      </c>
      <c r="K5" s="10" t="s">
        <v>127</v>
      </c>
      <c r="L5" s="10" t="s">
        <v>128</v>
      </c>
      <c r="M5" s="10" t="s">
        <v>129</v>
      </c>
      <c r="N5" s="10" t="s">
        <v>130</v>
      </c>
      <c r="O5" s="10" t="s">
        <v>131</v>
      </c>
    </row>
    <row r="6" customFormat="false" ht="15" hidden="false" customHeight="false" outlineLevel="0" collapsed="false">
      <c r="A6" s="17" t="s">
        <v>107</v>
      </c>
      <c r="B6" s="25" t="n">
        <f aca="false">SUMIFS(캠페인_월간!$D$5:$D$64,캠페인_월간!$A$5:$A$64,$A6)</f>
        <v>2800000</v>
      </c>
      <c r="C6" s="25" t="n">
        <f aca="false">SUMIFS(캠페인_월간!$D$5:$D$64,캠페인_월간!$A$5:$A$64,$A6,캠페인_월간!$B$5:$B$64,"검색광고")</f>
        <v>1200000</v>
      </c>
      <c r="D6" s="25" t="n">
        <f aca="false">SUMIFS(캠페인_월간!$D$5:$D$64,캠페인_월간!$A$5:$A$64,$A6,캠페인_월간!$B$5:$B$64,"유튜브*")</f>
        <v>1600000</v>
      </c>
      <c r="E6" s="25" t="n">
        <f aca="false">SUMIFS(캠페인_월간!$F$5:$F$64,캠페인_월간!$A$5:$A$64,$A6)</f>
        <v>2070</v>
      </c>
      <c r="F6" s="25" t="n">
        <f aca="false">SUMIFS(캠페인_월간!$G$5:$G$64,캠페인_월간!$A$5:$A$64,$A6)</f>
        <v>53000</v>
      </c>
      <c r="G6" s="25" t="n">
        <f aca="false">SUMIFS(캠페인_월간!$K$5:$K$64,캠페인_월간!$A$5:$A$64,$A6)</f>
        <v>78</v>
      </c>
      <c r="H6" s="25" t="n">
        <f aca="false">IF(G6=0,"",B6/G6)</f>
        <v>35897.4358974359</v>
      </c>
      <c r="I6" s="19" t="n">
        <v>14</v>
      </c>
      <c r="J6" s="25" t="n">
        <f aca="false">IF(OR(I6="",I6=0),"",B6/I6)</f>
        <v>200000</v>
      </c>
      <c r="K6" s="25" t="n">
        <f aca="false">IF(I6="","",I6*$C$3)</f>
        <v>21000000</v>
      </c>
      <c r="L6" s="26" t="n">
        <f aca="false">IF(OR(K6="",B6=0),"",K6/B6)</f>
        <v>7.5</v>
      </c>
      <c r="M6" s="19" t="n">
        <v>820</v>
      </c>
      <c r="N6" s="27" t="str">
        <f aca="false">""</f>
        <v/>
      </c>
      <c r="O6" s="19" t="n">
        <v>35</v>
      </c>
    </row>
    <row r="7" customFormat="false" ht="15" hidden="false" customHeight="false" outlineLevel="0" collapsed="false">
      <c r="A7" s="17" t="s">
        <v>132</v>
      </c>
      <c r="B7" s="25" t="n">
        <f aca="false">SUMIFS(캠페인_월간!$D$5:$D$64,캠페인_월간!$A$5:$A$64,$A7)</f>
        <v>0</v>
      </c>
      <c r="C7" s="25" t="n">
        <f aca="false">SUMIFS(캠페인_월간!$D$5:$D$64,캠페인_월간!$A$5:$A$64,$A7,캠페인_월간!$B$5:$B$64,"검색광고")</f>
        <v>0</v>
      </c>
      <c r="D7" s="25" t="n">
        <f aca="false">SUMIFS(캠페인_월간!$D$5:$D$64,캠페인_월간!$A$5:$A$64,$A7,캠페인_월간!$B$5:$B$64,"유튜브*")</f>
        <v>0</v>
      </c>
      <c r="E7" s="25" t="n">
        <f aca="false">SUMIFS(캠페인_월간!$F$5:$F$64,캠페인_월간!$A$5:$A$64,$A7)</f>
        <v>0</v>
      </c>
      <c r="F7" s="25" t="n">
        <f aca="false">SUMIFS(캠페인_월간!$G$5:$G$64,캠페인_월간!$A$5:$A$64,$A7)</f>
        <v>0</v>
      </c>
      <c r="G7" s="25" t="n">
        <f aca="false">SUMIFS(캠페인_월간!$K$5:$K$64,캠페인_월간!$A$5:$A$64,$A7)</f>
        <v>0</v>
      </c>
      <c r="H7" s="25" t="str">
        <f aca="false">IF(G7=0,"",B7/G7)</f>
        <v/>
      </c>
      <c r="I7" s="19"/>
      <c r="J7" s="25" t="str">
        <f aca="false">IF(OR(I7="",I7=0),"",B7/I7)</f>
        <v/>
      </c>
      <c r="K7" s="25" t="str">
        <f aca="false">IF(I7="","",I7*$C$3)</f>
        <v/>
      </c>
      <c r="L7" s="26" t="str">
        <f aca="false">IF(OR(K7="",B7=0),"",K7/B7)</f>
        <v/>
      </c>
      <c r="M7" s="19"/>
      <c r="N7" s="27" t="str">
        <f aca="false">IF(OR(M7="",M6="",M6=0),"",M7/M6-1)</f>
        <v/>
      </c>
      <c r="O7" s="19"/>
    </row>
    <row r="8" customFormat="false" ht="15" hidden="false" customHeight="false" outlineLevel="0" collapsed="false">
      <c r="A8" s="17" t="s">
        <v>133</v>
      </c>
      <c r="B8" s="25" t="n">
        <f aca="false">SUMIFS(캠페인_월간!$D$5:$D$64,캠페인_월간!$A$5:$A$64,$A8)</f>
        <v>0</v>
      </c>
      <c r="C8" s="25" t="n">
        <f aca="false">SUMIFS(캠페인_월간!$D$5:$D$64,캠페인_월간!$A$5:$A$64,$A8,캠페인_월간!$B$5:$B$64,"검색광고")</f>
        <v>0</v>
      </c>
      <c r="D8" s="25" t="n">
        <f aca="false">SUMIFS(캠페인_월간!$D$5:$D$64,캠페인_월간!$A$5:$A$64,$A8,캠페인_월간!$B$5:$B$64,"유튜브*")</f>
        <v>0</v>
      </c>
      <c r="E8" s="25" t="n">
        <f aca="false">SUMIFS(캠페인_월간!$F$5:$F$64,캠페인_월간!$A$5:$A$64,$A8)</f>
        <v>0</v>
      </c>
      <c r="F8" s="25" t="n">
        <f aca="false">SUMIFS(캠페인_월간!$G$5:$G$64,캠페인_월간!$A$5:$A$64,$A8)</f>
        <v>0</v>
      </c>
      <c r="G8" s="25" t="n">
        <f aca="false">SUMIFS(캠페인_월간!$K$5:$K$64,캠페인_월간!$A$5:$A$64,$A8)</f>
        <v>0</v>
      </c>
      <c r="H8" s="25" t="str">
        <f aca="false">IF(G8=0,"",B8/G8)</f>
        <v/>
      </c>
      <c r="I8" s="19"/>
      <c r="J8" s="25" t="str">
        <f aca="false">IF(OR(I8="",I8=0),"",B8/I8)</f>
        <v/>
      </c>
      <c r="K8" s="25" t="str">
        <f aca="false">IF(I8="","",I8*$C$3)</f>
        <v/>
      </c>
      <c r="L8" s="26" t="str">
        <f aca="false">IF(OR(K8="",B8=0),"",K8/B8)</f>
        <v/>
      </c>
      <c r="M8" s="19"/>
      <c r="N8" s="27" t="str">
        <f aca="false">IF(OR(M8="",M7="",M7=0),"",M8/M7-1)</f>
        <v/>
      </c>
      <c r="O8" s="19"/>
    </row>
    <row r="9" customFormat="false" ht="15" hidden="false" customHeight="false" outlineLevel="0" collapsed="false">
      <c r="A9" s="17" t="s">
        <v>134</v>
      </c>
      <c r="B9" s="25" t="n">
        <f aca="false">SUMIFS(캠페인_월간!$D$5:$D$64,캠페인_월간!$A$5:$A$64,$A9)</f>
        <v>0</v>
      </c>
      <c r="C9" s="25" t="n">
        <f aca="false">SUMIFS(캠페인_월간!$D$5:$D$64,캠페인_월간!$A$5:$A$64,$A9,캠페인_월간!$B$5:$B$64,"검색광고")</f>
        <v>0</v>
      </c>
      <c r="D9" s="25" t="n">
        <f aca="false">SUMIFS(캠페인_월간!$D$5:$D$64,캠페인_월간!$A$5:$A$64,$A9,캠페인_월간!$B$5:$B$64,"유튜브*")</f>
        <v>0</v>
      </c>
      <c r="E9" s="25" t="n">
        <f aca="false">SUMIFS(캠페인_월간!$F$5:$F$64,캠페인_월간!$A$5:$A$64,$A9)</f>
        <v>0</v>
      </c>
      <c r="F9" s="25" t="n">
        <f aca="false">SUMIFS(캠페인_월간!$G$5:$G$64,캠페인_월간!$A$5:$A$64,$A9)</f>
        <v>0</v>
      </c>
      <c r="G9" s="25" t="n">
        <f aca="false">SUMIFS(캠페인_월간!$K$5:$K$64,캠페인_월간!$A$5:$A$64,$A9)</f>
        <v>0</v>
      </c>
      <c r="H9" s="25" t="str">
        <f aca="false">IF(G9=0,"",B9/G9)</f>
        <v/>
      </c>
      <c r="I9" s="19"/>
      <c r="J9" s="25" t="str">
        <f aca="false">IF(OR(I9="",I9=0),"",B9/I9)</f>
        <v/>
      </c>
      <c r="K9" s="25" t="str">
        <f aca="false">IF(I9="","",I9*$C$3)</f>
        <v/>
      </c>
      <c r="L9" s="26" t="str">
        <f aca="false">IF(OR(K9="",B9=0),"",K9/B9)</f>
        <v/>
      </c>
      <c r="M9" s="19"/>
      <c r="N9" s="27" t="str">
        <f aca="false">IF(OR(M9="",M8="",M8=0),"",M9/M8-1)</f>
        <v/>
      </c>
      <c r="O9" s="19"/>
    </row>
    <row r="10" customFormat="false" ht="15" hidden="false" customHeight="false" outlineLevel="0" collapsed="false">
      <c r="A10" s="17" t="s">
        <v>135</v>
      </c>
      <c r="B10" s="25" t="n">
        <f aca="false">SUMIFS(캠페인_월간!$D$5:$D$64,캠페인_월간!$A$5:$A$64,$A10)</f>
        <v>0</v>
      </c>
      <c r="C10" s="25" t="n">
        <f aca="false">SUMIFS(캠페인_월간!$D$5:$D$64,캠페인_월간!$A$5:$A$64,$A10,캠페인_월간!$B$5:$B$64,"검색광고")</f>
        <v>0</v>
      </c>
      <c r="D10" s="25" t="n">
        <f aca="false">SUMIFS(캠페인_월간!$D$5:$D$64,캠페인_월간!$A$5:$A$64,$A10,캠페인_월간!$B$5:$B$64,"유튜브*")</f>
        <v>0</v>
      </c>
      <c r="E10" s="25" t="n">
        <f aca="false">SUMIFS(캠페인_월간!$F$5:$F$64,캠페인_월간!$A$5:$A$64,$A10)</f>
        <v>0</v>
      </c>
      <c r="F10" s="25" t="n">
        <f aca="false">SUMIFS(캠페인_월간!$G$5:$G$64,캠페인_월간!$A$5:$A$64,$A10)</f>
        <v>0</v>
      </c>
      <c r="G10" s="25" t="n">
        <f aca="false">SUMIFS(캠페인_월간!$K$5:$K$64,캠페인_월간!$A$5:$A$64,$A10)</f>
        <v>0</v>
      </c>
      <c r="H10" s="25" t="str">
        <f aca="false">IF(G10=0,"",B10/G10)</f>
        <v/>
      </c>
      <c r="I10" s="19"/>
      <c r="J10" s="25" t="str">
        <f aca="false">IF(OR(I10="",I10=0),"",B10/I10)</f>
        <v/>
      </c>
      <c r="K10" s="25" t="str">
        <f aca="false">IF(I10="","",I10*$C$3)</f>
        <v/>
      </c>
      <c r="L10" s="26" t="str">
        <f aca="false">IF(OR(K10="",B10=0),"",K10/B10)</f>
        <v/>
      </c>
      <c r="M10" s="19"/>
      <c r="N10" s="27" t="str">
        <f aca="false">IF(OR(M10="",M9="",M9=0),"",M10/M9-1)</f>
        <v/>
      </c>
      <c r="O10" s="19"/>
    </row>
    <row r="11" customFormat="false" ht="15" hidden="false" customHeight="false" outlineLevel="0" collapsed="false">
      <c r="A11" s="17" t="s">
        <v>136</v>
      </c>
      <c r="B11" s="25" t="n">
        <f aca="false">SUMIFS(캠페인_월간!$D$5:$D$64,캠페인_월간!$A$5:$A$64,$A11)</f>
        <v>0</v>
      </c>
      <c r="C11" s="25" t="n">
        <f aca="false">SUMIFS(캠페인_월간!$D$5:$D$64,캠페인_월간!$A$5:$A$64,$A11,캠페인_월간!$B$5:$B$64,"검색광고")</f>
        <v>0</v>
      </c>
      <c r="D11" s="25" t="n">
        <f aca="false">SUMIFS(캠페인_월간!$D$5:$D$64,캠페인_월간!$A$5:$A$64,$A11,캠페인_월간!$B$5:$B$64,"유튜브*")</f>
        <v>0</v>
      </c>
      <c r="E11" s="25" t="n">
        <f aca="false">SUMIFS(캠페인_월간!$F$5:$F$64,캠페인_월간!$A$5:$A$64,$A11)</f>
        <v>0</v>
      </c>
      <c r="F11" s="25" t="n">
        <f aca="false">SUMIFS(캠페인_월간!$G$5:$G$64,캠페인_월간!$A$5:$A$64,$A11)</f>
        <v>0</v>
      </c>
      <c r="G11" s="25" t="n">
        <f aca="false">SUMIFS(캠페인_월간!$K$5:$K$64,캠페인_월간!$A$5:$A$64,$A11)</f>
        <v>0</v>
      </c>
      <c r="H11" s="25" t="str">
        <f aca="false">IF(G11=0,"",B11/G11)</f>
        <v/>
      </c>
      <c r="I11" s="19"/>
      <c r="J11" s="25" t="str">
        <f aca="false">IF(OR(I11="",I11=0),"",B11/I11)</f>
        <v/>
      </c>
      <c r="K11" s="25" t="str">
        <f aca="false">IF(I11="","",I11*$C$3)</f>
        <v/>
      </c>
      <c r="L11" s="26" t="str">
        <f aca="false">IF(OR(K11="",B11=0),"",K11/B11)</f>
        <v/>
      </c>
      <c r="M11" s="19"/>
      <c r="N11" s="27" t="str">
        <f aca="false">IF(OR(M11="",M10="",M10=0),"",M11/M10-1)</f>
        <v/>
      </c>
      <c r="O11" s="19"/>
    </row>
    <row r="12" customFormat="false" ht="15" hidden="false" customHeight="false" outlineLevel="0" collapsed="false">
      <c r="A12" s="28" t="s">
        <v>137</v>
      </c>
      <c r="B12" s="29" t="n">
        <f aca="false">SUM(B6:B11)</f>
        <v>2800000</v>
      </c>
      <c r="C12" s="29" t="n">
        <f aca="false">SUM(C6:C11)</f>
        <v>1200000</v>
      </c>
      <c r="D12" s="29" t="n">
        <f aca="false">SUM(D6:D11)</f>
        <v>1600000</v>
      </c>
      <c r="E12" s="29" t="n">
        <f aca="false">SUM(E6:E11)</f>
        <v>2070</v>
      </c>
      <c r="F12" s="29" t="n">
        <f aca="false">SUM(F6:F11)</f>
        <v>53000</v>
      </c>
      <c r="G12" s="29" t="n">
        <f aca="false">SUM(G6:G11)</f>
        <v>78</v>
      </c>
      <c r="H12" s="29" t="n">
        <f aca="false">IF(G12=0,"",B12/G12)</f>
        <v>35897.4358974359</v>
      </c>
      <c r="I12" s="29" t="n">
        <f aca="false">SUM(I6:I11)</f>
        <v>14</v>
      </c>
      <c r="J12" s="29" t="n">
        <f aca="false">IF(I12=0,"",B12/I12)</f>
        <v>200000</v>
      </c>
      <c r="K12" s="29" t="n">
        <f aca="false">SUM(K6:K11)</f>
        <v>21000000</v>
      </c>
      <c r="L12" s="30" t="n">
        <f aca="false">IF(B12=0,"",K12/B12)</f>
        <v>7.5</v>
      </c>
      <c r="M12" s="28"/>
      <c r="N12" s="28"/>
      <c r="O12" s="28"/>
    </row>
    <row r="14" customFormat="false" ht="15" hidden="false" customHeight="false" outlineLevel="0" collapsed="false">
      <c r="A14" s="5" t="s">
        <v>138</v>
      </c>
    </row>
    <row r="15" customFormat="false" ht="15" hidden="false" customHeight="false" outlineLevel="0" collapsed="false">
      <c r="A15" s="31" t="s">
        <v>139</v>
      </c>
    </row>
    <row r="16" customFormat="false" ht="15" hidden="false" customHeight="false" outlineLevel="0" collapsed="false">
      <c r="A16" s="31" t="s">
        <v>140</v>
      </c>
    </row>
    <row r="17" customFormat="false" ht="15" hidden="false" customHeight="false" outlineLevel="0" collapsed="false">
      <c r="A17" s="31" t="s">
        <v>141</v>
      </c>
    </row>
    <row r="18" customFormat="false" ht="15" hidden="false" customHeight="false" outlineLevel="0" collapsed="false">
      <c r="A18" s="31" t="s">
        <v>142</v>
      </c>
    </row>
    <row r="19" customFormat="false" ht="15" hidden="false" customHeight="false" outlineLevel="0" collapsed="false">
      <c r="A19" s="3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2026-10-26T06:39:01Z</dcterms:created>
  <dc:creator>openpyxl</dc:creator>
  <dc:description/>
  <dc:language>en-US</dc:language>
  <cp:lastModifiedBy/>
  <dcterms:modified xsi:type="dcterms:W3CDTF">2026-10-26T06:39:02Z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